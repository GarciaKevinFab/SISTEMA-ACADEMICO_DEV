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VIN GARCIA\Downloads\"/>
    </mc:Choice>
  </mc:AlternateContent>
  <xr:revisionPtr revIDLastSave="0" documentId="13_ncr:1_{93F6D62B-3E4D-4EFC-9BB5-AAF543817252}" xr6:coauthVersionLast="47" xr6:coauthVersionMax="47" xr10:uidLastSave="{00000000-0000-0000-0000-000000000000}"/>
  <bookViews>
    <workbookView xWindow="4680" yWindow="4680" windowWidth="28800" windowHeight="15345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'!$A$1:$I$75</definedName>
    <definedName name="_xlnm.Print_Area" localSheetId="2">'ED. FISICA 2020'!$A$1:$I$72</definedName>
    <definedName name="_xlnm.Print_Area" localSheetId="1">'PRIMARIA 2020 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9" i="12" l="1"/>
  <c r="I57" i="12"/>
  <c r="I55" i="12"/>
  <c r="I50" i="12"/>
  <c r="I44" i="12"/>
  <c r="I37" i="12"/>
  <c r="I30" i="12"/>
  <c r="I23" i="12"/>
  <c r="I16" i="12"/>
  <c r="I10" i="12"/>
  <c r="I58" i="11"/>
  <c r="I56" i="11"/>
  <c r="I54" i="11"/>
  <c r="I49" i="11"/>
  <c r="I43" i="11"/>
  <c r="I9" i="11"/>
  <c r="I15" i="11"/>
  <c r="I22" i="11"/>
  <c r="I29" i="11"/>
  <c r="I36" i="11"/>
  <c r="I58" i="10"/>
  <c r="I56" i="10"/>
  <c r="I54" i="10"/>
  <c r="I49" i="10"/>
  <c r="I43" i="10"/>
  <c r="I36" i="10"/>
  <c r="I29" i="10"/>
  <c r="I22" i="10"/>
  <c r="I15" i="10"/>
  <c r="I9" i="10"/>
  <c r="I35" i="9"/>
  <c r="I28" i="9"/>
  <c r="I21" i="9"/>
  <c r="I14" i="9"/>
  <c r="I57" i="9"/>
  <c r="I55" i="9"/>
  <c r="I53" i="9"/>
  <c r="I48" i="9"/>
  <c r="I42" i="9"/>
  <c r="I8" i="9"/>
</calcChain>
</file>

<file path=xl/sharedStrings.xml><?xml version="1.0" encoding="utf-8"?>
<sst xmlns="http://schemas.openxmlformats.org/spreadsheetml/2006/main" count="302" uniqueCount="169">
  <si>
    <t>AREAS / ASIGNATURAS</t>
  </si>
  <si>
    <t>CRED.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</si>
  <si>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</si>
  <si>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</si>
  <si>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</si>
  <si>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</si>
  <si>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</si>
  <si>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</si>
  <si>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</si>
  <si>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</si>
  <si>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</si>
  <si>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</si>
  <si>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</si>
  <si>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</si>
  <si>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</si>
  <si>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</si>
  <si>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</si>
  <si>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</si>
  <si>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</si>
  <si>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</si>
  <si>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</si>
  <si>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</si>
  <si>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</si>
  <si>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</si>
  <si>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</si>
  <si>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</si>
  <si>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</si>
  <si>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</si>
  <si>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</si>
  <si>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</si>
  <si>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</si>
  <si>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</si>
  <si>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</si>
  <si>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</si>
  <si>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</si>
  <si>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</si>
  <si>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</si>
  <si>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</si>
  <si>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</si>
  <si>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</si>
  <si>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</si>
  <si>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</si>
  <si>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</si>
  <si>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</si>
  <si>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</si>
  <si>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</si>
  <si>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</si>
  <si>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</si>
  <si>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</si>
  <si>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</si>
  <si>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</si>
  <si>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</si>
  <si>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</si>
  <si>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</si>
  <si>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</si>
  <si>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</si>
  <si>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</si>
  <si>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</si>
  <si>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</si>
  <si>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</si>
  <si>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</si>
  <si>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</si>
  <si>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</si>
  <si>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</si>
  <si>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</si>
  <si>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</si>
  <si>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</si>
  <si>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</si>
  <si>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</si>
  <si>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</si>
  <si>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</si>
  <si>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</si>
  <si>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</si>
  <si>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</si>
  <si>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</si>
  <si>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</si>
  <si>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</si>
  <si>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</si>
  <si>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</si>
  <si>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</si>
  <si>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</si>
  <si>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</si>
  <si>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</si>
  <si>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</si>
  <si>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</si>
  <si>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</si>
  <si>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</si>
  <si>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</si>
  <si>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</si>
  <si>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</si>
  <si>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</si>
  <si>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</si>
  <si>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</si>
  <si>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</si>
  <si>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</si>
  <si>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</si>
  <si>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</si>
  <si>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</si>
  <si>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</si>
  <si>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</si>
  <si>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</si>
  <si>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</si>
  <si>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</si>
  <si>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</si>
  <si>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</si>
  <si>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</si>
  <si>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</si>
  <si>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</si>
  <si>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SEM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</si>
  <si>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</si>
  <si>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</si>
  <si>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</si>
  <si>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</si>
  <si>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</si>
  <si>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</si>
  <si>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</si>
  <si>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</si>
  <si>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</si>
  <si>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</si>
  <si>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</si>
  <si>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</si>
  <si>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</si>
  <si>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</si>
  <si>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</si>
  <si>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</si>
  <si>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</si>
  <si>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</si>
  <si>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NOTA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</si>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</sst>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b/>
      <sz val="10.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0" xfId="0" applyFont="1" applyBorder="1" applyAlignment="1">
      <alignment horizontal="center" vertical="center" textRotation="90"/>
    </xf>
    <xf numFmtId="0" fontId="8" fillId="0" borderId="0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11" fillId="0" borderId="0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8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textRotation="90" wrapText="1"/>
    </xf>
    <xf numFmtId="0" fontId="14" fillId="0" borderId="4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/>
    </xf>
    <xf numFmtId="0" fontId="15" fillId="0" borderId="8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I59"/>
  <sheetViews>
    <sheetView tabSelected="1" zoomScale="85" zoomScaleNormal="85" workbookViewId="0">
      <selection activeCell="C73" sqref="C73"/>
    </sheetView>
  </sheetViews>
  <sheetFormatPr baseColWidth="10" defaultRowHeight="15" x14ac:dyDescent="0.25"/>
  <cols>
    <col min="3" max="3" width="56.7109375" customWidth="1"/>
    <col min="8" max="8" width="12.140625" customWidth="1"/>
  </cols>
  <sheetData>
    <row r="1" spans="1:9" ht="15.75" x14ac:dyDescent="0.25">
      <c r="C1" s="26"/>
    </row>
    <row r="2" spans="1:9" ht="18.75" x14ac:dyDescent="0.25">
      <c r="C2" s="25" t="s">
        <v>164</v>
      </c>
    </row>
    <row r="4" spans="1:9" ht="19.5" customHeight="1" x14ac:dyDescent="0.25">
      <c r="A4" s="28" t="s">
        <v>108</v>
      </c>
      <c r="B4" s="28" t="s">
        <v>109</v>
      </c>
      <c r="C4" s="28" t="s">
        <v>0</v>
      </c>
      <c r="D4" s="28" t="s">
        <v>127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</row>
    <row r="5" spans="1:9" ht="16.5" customHeight="1" x14ac:dyDescent="0.25">
      <c r="A5" s="58" t="s">
        <v>56</v>
      </c>
      <c r="B5" s="29">
        <v>1</v>
      </c>
      <c r="C5" s="30" t="s">
        <v>11</v>
      </c>
      <c r="D5" s="31">
        <v>4</v>
      </c>
      <c r="E5" s="32">
        <v>3</v>
      </c>
      <c r="F5" s="32"/>
      <c r="G5" s="32"/>
      <c r="H5" s="32"/>
      <c r="I5" s="32"/>
    </row>
    <row r="6" spans="1:9" ht="18" customHeight="1" x14ac:dyDescent="0.25">
      <c r="A6" s="59"/>
      <c r="B6" s="29">
        <v>2</v>
      </c>
      <c r="C6" s="30" t="s">
        <v>18</v>
      </c>
      <c r="D6" s="31">
        <v>4</v>
      </c>
      <c r="E6" s="32">
        <v>3</v>
      </c>
      <c r="F6" s="32"/>
      <c r="G6" s="32"/>
      <c r="H6" s="32"/>
      <c r="I6" s="32"/>
    </row>
    <row r="7" spans="1:9" x14ac:dyDescent="0.25">
      <c r="A7" s="59"/>
      <c r="B7" s="29">
        <v>3</v>
      </c>
      <c r="C7" s="30" t="s">
        <v>20</v>
      </c>
      <c r="D7" s="31">
        <v>4</v>
      </c>
      <c r="E7" s="32">
        <v>3</v>
      </c>
      <c r="F7" s="32"/>
      <c r="G7" s="32"/>
      <c r="H7" s="32"/>
      <c r="I7" s="32"/>
    </row>
    <row r="8" spans="1:9" x14ac:dyDescent="0.25">
      <c r="A8" s="59"/>
      <c r="B8" s="29">
        <v>4</v>
      </c>
      <c r="C8" s="30" t="s">
        <v>24</v>
      </c>
      <c r="D8" s="31">
        <v>6</v>
      </c>
      <c r="E8" s="32">
        <v>5</v>
      </c>
      <c r="F8" s="32"/>
      <c r="G8" s="32"/>
      <c r="H8" s="32"/>
      <c r="I8" s="32"/>
    </row>
    <row r="9" spans="1:9" x14ac:dyDescent="0.25">
      <c r="A9" s="59"/>
      <c r="B9" s="29">
        <v>5</v>
      </c>
      <c r="C9" s="30" t="s">
        <v>34</v>
      </c>
      <c r="D9" s="31">
        <v>6</v>
      </c>
      <c r="E9" s="32">
        <v>5</v>
      </c>
      <c r="F9" s="32"/>
      <c r="G9" s="32"/>
      <c r="H9" s="32"/>
      <c r="I9" s="32"/>
    </row>
    <row r="10" spans="1:9" x14ac:dyDescent="0.25">
      <c r="A10" s="60"/>
      <c r="B10" s="29">
        <v>6</v>
      </c>
      <c r="C10" s="30" t="s">
        <v>128</v>
      </c>
      <c r="D10" s="31">
        <v>6</v>
      </c>
      <c r="E10" s="32">
        <v>5</v>
      </c>
      <c r="F10" s="32"/>
      <c r="G10" s="32"/>
      <c r="H10" s="32"/>
      <c r="I10" s="32">
        <f>SUM(E5+E6+E7+E8+E9+E10)</f>
        <v>24</v>
      </c>
    </row>
    <row r="11" spans="1:9" ht="15" customHeight="1" x14ac:dyDescent="0.25">
      <c r="A11" s="58" t="s">
        <v>51</v>
      </c>
      <c r="B11" s="29">
        <v>1</v>
      </c>
      <c r="C11" s="30" t="s">
        <v>12</v>
      </c>
      <c r="D11" s="31">
        <v>4</v>
      </c>
      <c r="E11" s="32">
        <v>3</v>
      </c>
      <c r="F11" s="32"/>
      <c r="G11" s="32"/>
      <c r="H11" s="32"/>
      <c r="I11" s="32"/>
    </row>
    <row r="12" spans="1:9" x14ac:dyDescent="0.25">
      <c r="A12" s="59"/>
      <c r="B12" s="29">
        <v>2</v>
      </c>
      <c r="C12" s="30" t="s">
        <v>19</v>
      </c>
      <c r="D12" s="31">
        <v>4</v>
      </c>
      <c r="E12" s="32">
        <v>3</v>
      </c>
      <c r="F12" s="32"/>
      <c r="G12" s="32"/>
      <c r="H12" s="32"/>
      <c r="I12" s="32"/>
    </row>
    <row r="13" spans="1:9" x14ac:dyDescent="0.25">
      <c r="A13" s="59"/>
      <c r="B13" s="29">
        <v>3</v>
      </c>
      <c r="C13" s="30" t="s">
        <v>22</v>
      </c>
      <c r="D13" s="31">
        <v>4</v>
      </c>
      <c r="E13" s="32">
        <v>3</v>
      </c>
      <c r="F13" s="32"/>
      <c r="G13" s="32"/>
      <c r="H13" s="32"/>
      <c r="I13" s="32"/>
    </row>
    <row r="14" spans="1:9" x14ac:dyDescent="0.25">
      <c r="A14" s="59"/>
      <c r="B14" s="29">
        <v>4</v>
      </c>
      <c r="C14" s="30" t="s">
        <v>25</v>
      </c>
      <c r="D14" s="31">
        <v>6</v>
      </c>
      <c r="E14" s="32">
        <v>5</v>
      </c>
      <c r="F14" s="32"/>
      <c r="G14" s="32"/>
      <c r="H14" s="32"/>
      <c r="I14" s="32"/>
    </row>
    <row r="15" spans="1:9" x14ac:dyDescent="0.25">
      <c r="A15" s="59"/>
      <c r="B15" s="29">
        <v>5</v>
      </c>
      <c r="C15" s="30" t="s">
        <v>129</v>
      </c>
      <c r="D15" s="31">
        <v>6</v>
      </c>
      <c r="E15" s="32">
        <v>5</v>
      </c>
      <c r="F15" s="32"/>
      <c r="G15" s="32"/>
      <c r="H15" s="32"/>
      <c r="I15" s="32"/>
    </row>
    <row r="16" spans="1:9" x14ac:dyDescent="0.25">
      <c r="A16" s="60"/>
      <c r="B16" s="29">
        <v>6</v>
      </c>
      <c r="C16" s="30" t="s">
        <v>130</v>
      </c>
      <c r="D16" s="31">
        <v>6</v>
      </c>
      <c r="E16" s="32">
        <v>5</v>
      </c>
      <c r="F16" s="33"/>
      <c r="G16" s="32"/>
      <c r="H16" s="32"/>
      <c r="I16" s="32">
        <f>SUM(E11+E12+E13+E14+E15+E16)</f>
        <v>24</v>
      </c>
    </row>
    <row r="17" spans="1:9" ht="15" customHeight="1" x14ac:dyDescent="0.25">
      <c r="A17" s="58" t="s">
        <v>52</v>
      </c>
      <c r="B17" s="29">
        <v>1</v>
      </c>
      <c r="C17" s="30" t="s">
        <v>13</v>
      </c>
      <c r="D17" s="31">
        <v>4</v>
      </c>
      <c r="E17" s="32">
        <v>3</v>
      </c>
      <c r="F17" s="32"/>
      <c r="G17" s="32"/>
      <c r="H17" s="32"/>
      <c r="I17" s="32"/>
    </row>
    <row r="18" spans="1:9" x14ac:dyDescent="0.25">
      <c r="A18" s="59"/>
      <c r="B18" s="29">
        <v>2</v>
      </c>
      <c r="C18" s="30" t="s">
        <v>133</v>
      </c>
      <c r="D18" s="31">
        <v>4</v>
      </c>
      <c r="E18" s="32">
        <v>3</v>
      </c>
      <c r="F18" s="32"/>
      <c r="G18" s="32"/>
      <c r="H18" s="32"/>
      <c r="I18" s="32"/>
    </row>
    <row r="19" spans="1:9" x14ac:dyDescent="0.25">
      <c r="A19" s="59"/>
      <c r="B19" s="29">
        <v>3</v>
      </c>
      <c r="C19" s="30" t="s">
        <v>21</v>
      </c>
      <c r="D19" s="31">
        <v>4</v>
      </c>
      <c r="E19" s="32">
        <v>3</v>
      </c>
      <c r="F19" s="32"/>
      <c r="G19" s="32"/>
      <c r="H19" s="32"/>
      <c r="I19" s="32"/>
    </row>
    <row r="20" spans="1:9" x14ac:dyDescent="0.25">
      <c r="A20" s="59"/>
      <c r="B20" s="29">
        <v>4</v>
      </c>
      <c r="C20" s="30" t="s">
        <v>26</v>
      </c>
      <c r="D20" s="31">
        <v>6</v>
      </c>
      <c r="E20" s="32">
        <v>5</v>
      </c>
      <c r="F20" s="32"/>
      <c r="G20" s="32"/>
      <c r="H20" s="32"/>
      <c r="I20" s="32"/>
    </row>
    <row r="21" spans="1:9" x14ac:dyDescent="0.25">
      <c r="A21" s="59"/>
      <c r="B21" s="29">
        <v>5</v>
      </c>
      <c r="C21" s="30" t="s">
        <v>35</v>
      </c>
      <c r="D21" s="31">
        <v>4</v>
      </c>
      <c r="E21" s="32">
        <v>3</v>
      </c>
      <c r="F21" s="32"/>
      <c r="G21" s="32"/>
      <c r="H21" s="32"/>
      <c r="I21" s="32"/>
    </row>
    <row r="22" spans="1:9" x14ac:dyDescent="0.25">
      <c r="A22" s="59"/>
      <c r="B22" s="29">
        <v>6</v>
      </c>
      <c r="C22" s="30" t="s">
        <v>36</v>
      </c>
      <c r="D22" s="31">
        <v>4</v>
      </c>
      <c r="E22" s="32">
        <v>3</v>
      </c>
      <c r="F22" s="32"/>
      <c r="G22" s="32"/>
      <c r="H22" s="32"/>
      <c r="I22" s="32"/>
    </row>
    <row r="23" spans="1:9" x14ac:dyDescent="0.25">
      <c r="A23" s="60"/>
      <c r="B23" s="29">
        <v>7</v>
      </c>
      <c r="C23" s="30" t="s">
        <v>82</v>
      </c>
      <c r="D23" s="31">
        <v>4</v>
      </c>
      <c r="E23" s="32">
        <v>3</v>
      </c>
      <c r="F23" s="32"/>
      <c r="G23" s="32"/>
      <c r="H23" s="32"/>
      <c r="I23" s="32">
        <f>SUM(E17+E18+E19+E20+E21+E22+E23)</f>
        <v>23</v>
      </c>
    </row>
    <row r="24" spans="1:9" ht="15" customHeight="1" x14ac:dyDescent="0.25">
      <c r="A24" s="58" t="s">
        <v>53</v>
      </c>
      <c r="B24" s="29">
        <v>1</v>
      </c>
      <c r="C24" s="30" t="s">
        <v>14</v>
      </c>
      <c r="D24" s="31">
        <v>4</v>
      </c>
      <c r="E24" s="32">
        <v>3</v>
      </c>
      <c r="F24" s="32"/>
      <c r="G24" s="32"/>
      <c r="H24" s="32"/>
      <c r="I24" s="32"/>
    </row>
    <row r="25" spans="1:9" x14ac:dyDescent="0.25">
      <c r="A25" s="59"/>
      <c r="B25" s="29">
        <v>2</v>
      </c>
      <c r="C25" s="30" t="s">
        <v>134</v>
      </c>
      <c r="D25" s="31">
        <v>4</v>
      </c>
      <c r="E25" s="32">
        <v>3</v>
      </c>
      <c r="F25" s="32"/>
      <c r="G25" s="32"/>
      <c r="H25" s="32"/>
      <c r="I25" s="32"/>
    </row>
    <row r="26" spans="1:9" x14ac:dyDescent="0.25">
      <c r="A26" s="59"/>
      <c r="B26" s="29">
        <v>3</v>
      </c>
      <c r="C26" s="30" t="s">
        <v>23</v>
      </c>
      <c r="D26" s="31">
        <v>4</v>
      </c>
      <c r="E26" s="32">
        <v>3</v>
      </c>
      <c r="F26" s="32"/>
      <c r="G26" s="32"/>
      <c r="H26" s="32"/>
      <c r="I26" s="32"/>
    </row>
    <row r="27" spans="1:9" x14ac:dyDescent="0.25">
      <c r="A27" s="59"/>
      <c r="B27" s="29">
        <v>4</v>
      </c>
      <c r="C27" s="30" t="s">
        <v>27</v>
      </c>
      <c r="D27" s="31">
        <v>6</v>
      </c>
      <c r="E27" s="32">
        <v>5</v>
      </c>
      <c r="F27" s="32"/>
      <c r="G27" s="32"/>
      <c r="H27" s="32"/>
      <c r="I27" s="32"/>
    </row>
    <row r="28" spans="1:9" x14ac:dyDescent="0.25">
      <c r="A28" s="59"/>
      <c r="B28" s="29">
        <v>5</v>
      </c>
      <c r="C28" s="30" t="s">
        <v>131</v>
      </c>
      <c r="D28" s="31">
        <v>4</v>
      </c>
      <c r="E28" s="32">
        <v>3</v>
      </c>
      <c r="F28" s="32"/>
      <c r="G28" s="32"/>
      <c r="H28" s="32"/>
      <c r="I28" s="32"/>
    </row>
    <row r="29" spans="1:9" x14ac:dyDescent="0.25">
      <c r="A29" s="59"/>
      <c r="B29" s="29">
        <v>6</v>
      </c>
      <c r="C29" s="30" t="s">
        <v>37</v>
      </c>
      <c r="D29" s="31">
        <v>4</v>
      </c>
      <c r="E29" s="32">
        <v>3</v>
      </c>
      <c r="F29" s="32"/>
      <c r="G29" s="32"/>
      <c r="H29" s="32"/>
      <c r="I29" s="32"/>
    </row>
    <row r="30" spans="1:9" x14ac:dyDescent="0.25">
      <c r="A30" s="60"/>
      <c r="B30" s="29">
        <v>7</v>
      </c>
      <c r="C30" s="30" t="s">
        <v>83</v>
      </c>
      <c r="D30" s="31">
        <v>4</v>
      </c>
      <c r="E30" s="32">
        <v>3</v>
      </c>
      <c r="F30" s="32"/>
      <c r="G30" s="32"/>
      <c r="H30" s="32"/>
      <c r="I30" s="32">
        <f>SUM(E24+E25+E26+E27+E28+E29+E30)</f>
        <v>23</v>
      </c>
    </row>
    <row r="31" spans="1:9" ht="15" customHeight="1" x14ac:dyDescent="0.25">
      <c r="A31" s="58" t="s">
        <v>161</v>
      </c>
      <c r="B31" s="29">
        <v>1</v>
      </c>
      <c r="C31" s="30" t="s">
        <v>15</v>
      </c>
      <c r="D31" s="31">
        <v>4</v>
      </c>
      <c r="E31" s="32">
        <v>3</v>
      </c>
      <c r="F31" s="32"/>
      <c r="G31" s="32"/>
      <c r="H31" s="32"/>
      <c r="I31" s="32"/>
    </row>
    <row r="32" spans="1:9" x14ac:dyDescent="0.25">
      <c r="A32" s="59"/>
      <c r="B32" s="29">
        <v>2</v>
      </c>
      <c r="C32" s="30" t="s">
        <v>135</v>
      </c>
      <c r="D32" s="31">
        <v>4</v>
      </c>
      <c r="E32" s="32">
        <v>3</v>
      </c>
      <c r="F32" s="32"/>
      <c r="G32" s="32"/>
      <c r="H32" s="32"/>
      <c r="I32" s="32"/>
    </row>
    <row r="33" spans="1:9" x14ac:dyDescent="0.25">
      <c r="A33" s="59"/>
      <c r="B33" s="29">
        <v>3</v>
      </c>
      <c r="C33" s="30" t="s">
        <v>28</v>
      </c>
      <c r="D33" s="31">
        <v>6</v>
      </c>
      <c r="E33" s="32">
        <v>5</v>
      </c>
      <c r="F33" s="32"/>
      <c r="G33" s="32"/>
      <c r="H33" s="32"/>
      <c r="I33" s="32"/>
    </row>
    <row r="34" spans="1:9" x14ac:dyDescent="0.25">
      <c r="A34" s="59"/>
      <c r="B34" s="29">
        <v>4</v>
      </c>
      <c r="C34" s="30" t="s">
        <v>38</v>
      </c>
      <c r="D34" s="31">
        <v>4</v>
      </c>
      <c r="E34" s="32">
        <v>3</v>
      </c>
      <c r="F34" s="32"/>
      <c r="G34" s="32"/>
      <c r="H34" s="32"/>
      <c r="I34" s="32"/>
    </row>
    <row r="35" spans="1:9" x14ac:dyDescent="0.25">
      <c r="A35" s="59"/>
      <c r="B35" s="29">
        <v>5</v>
      </c>
      <c r="C35" s="30" t="s">
        <v>39</v>
      </c>
      <c r="D35" s="31">
        <v>4</v>
      </c>
      <c r="E35" s="32">
        <v>3</v>
      </c>
      <c r="F35" s="32"/>
      <c r="G35" s="32"/>
      <c r="H35" s="32"/>
      <c r="I35" s="32"/>
    </row>
    <row r="36" spans="1:9" x14ac:dyDescent="0.25">
      <c r="A36" s="59"/>
      <c r="B36" s="29">
        <v>6</v>
      </c>
      <c r="C36" s="30" t="s">
        <v>40</v>
      </c>
      <c r="D36" s="31">
        <v>4</v>
      </c>
      <c r="E36" s="32">
        <v>3</v>
      </c>
      <c r="F36" s="32"/>
      <c r="G36" s="32"/>
      <c r="H36" s="32"/>
      <c r="I36" s="32"/>
    </row>
    <row r="37" spans="1:9" x14ac:dyDescent="0.25">
      <c r="A37" s="60"/>
      <c r="B37" s="29">
        <v>7</v>
      </c>
      <c r="C37" s="30" t="s">
        <v>84</v>
      </c>
      <c r="D37" s="31">
        <v>4</v>
      </c>
      <c r="E37" s="32">
        <v>3</v>
      </c>
      <c r="F37" s="32"/>
      <c r="G37" s="32"/>
      <c r="H37" s="32"/>
      <c r="I37" s="32">
        <f>SUM(E31+E32+E33+E34+E35+E36+E37)</f>
        <v>23</v>
      </c>
    </row>
    <row r="38" spans="1:9" ht="15" customHeight="1" x14ac:dyDescent="0.25">
      <c r="A38" s="58" t="s">
        <v>6</v>
      </c>
      <c r="B38" s="34">
        <v>1</v>
      </c>
      <c r="C38" s="30" t="s">
        <v>16</v>
      </c>
      <c r="D38" s="31">
        <v>4</v>
      </c>
      <c r="E38" s="32">
        <v>3</v>
      </c>
      <c r="F38" s="32"/>
      <c r="G38" s="32"/>
      <c r="H38" s="32"/>
      <c r="I38" s="32"/>
    </row>
    <row r="39" spans="1:9" x14ac:dyDescent="0.25">
      <c r="A39" s="59"/>
      <c r="B39" s="34">
        <v>2</v>
      </c>
      <c r="C39" s="30" t="s">
        <v>136</v>
      </c>
      <c r="D39" s="31">
        <v>4</v>
      </c>
      <c r="E39" s="32">
        <v>3</v>
      </c>
      <c r="F39" s="32"/>
      <c r="G39" s="32"/>
      <c r="H39" s="32"/>
      <c r="I39" s="32"/>
    </row>
    <row r="40" spans="1:9" x14ac:dyDescent="0.25">
      <c r="A40" s="59"/>
      <c r="B40" s="34">
        <v>3</v>
      </c>
      <c r="C40" s="30" t="s">
        <v>29</v>
      </c>
      <c r="D40" s="31">
        <v>6</v>
      </c>
      <c r="E40" s="32">
        <v>5</v>
      </c>
      <c r="F40" s="32"/>
      <c r="G40" s="32"/>
      <c r="H40" s="32"/>
      <c r="I40" s="32"/>
    </row>
    <row r="41" spans="1:9" x14ac:dyDescent="0.25">
      <c r="A41" s="59"/>
      <c r="B41" s="34">
        <v>4</v>
      </c>
      <c r="C41" s="30" t="s">
        <v>41</v>
      </c>
      <c r="D41" s="31">
        <v>4</v>
      </c>
      <c r="E41" s="32">
        <v>3</v>
      </c>
      <c r="F41" s="32"/>
      <c r="G41" s="32"/>
      <c r="H41" s="32"/>
      <c r="I41" s="32"/>
    </row>
    <row r="42" spans="1:9" x14ac:dyDescent="0.25">
      <c r="A42" s="59"/>
      <c r="B42" s="34">
        <v>5</v>
      </c>
      <c r="C42" s="30" t="s">
        <v>42</v>
      </c>
      <c r="D42" s="31">
        <v>4</v>
      </c>
      <c r="E42" s="32">
        <v>3</v>
      </c>
      <c r="F42" s="32"/>
      <c r="G42" s="32"/>
      <c r="H42" s="32"/>
      <c r="I42" s="32"/>
    </row>
    <row r="43" spans="1:9" x14ac:dyDescent="0.25">
      <c r="A43" s="59"/>
      <c r="B43" s="34">
        <v>6</v>
      </c>
      <c r="C43" s="30" t="s">
        <v>43</v>
      </c>
      <c r="D43" s="31">
        <v>4</v>
      </c>
      <c r="E43" s="32">
        <v>3</v>
      </c>
      <c r="F43" s="32"/>
      <c r="G43" s="32"/>
      <c r="H43" s="32"/>
      <c r="I43" s="32"/>
    </row>
    <row r="44" spans="1:9" x14ac:dyDescent="0.25">
      <c r="A44" s="60"/>
      <c r="B44" s="34">
        <v>7</v>
      </c>
      <c r="C44" s="30" t="s">
        <v>85</v>
      </c>
      <c r="D44" s="31">
        <v>4</v>
      </c>
      <c r="E44" s="32">
        <v>3</v>
      </c>
      <c r="F44" s="32"/>
      <c r="G44" s="32"/>
      <c r="H44" s="32"/>
      <c r="I44" s="32">
        <f>SUM(E38+E39+E40+E41+E42+E43+E44)</f>
        <v>23</v>
      </c>
    </row>
    <row r="45" spans="1:9" ht="15" customHeight="1" x14ac:dyDescent="0.25">
      <c r="A45" s="58" t="s">
        <v>54</v>
      </c>
      <c r="B45" s="34">
        <v>1</v>
      </c>
      <c r="C45" s="30" t="s">
        <v>17</v>
      </c>
      <c r="D45" s="31">
        <v>4</v>
      </c>
      <c r="E45" s="32">
        <v>3</v>
      </c>
      <c r="F45" s="32"/>
      <c r="G45" s="32"/>
      <c r="H45" s="32"/>
      <c r="I45" s="32"/>
    </row>
    <row r="46" spans="1:9" x14ac:dyDescent="0.25">
      <c r="A46" s="59"/>
      <c r="B46" s="34">
        <v>2</v>
      </c>
      <c r="C46" s="30" t="s">
        <v>30</v>
      </c>
      <c r="D46" s="31">
        <v>10</v>
      </c>
      <c r="E46" s="32">
        <v>7</v>
      </c>
      <c r="F46" s="32"/>
      <c r="G46" s="32"/>
      <c r="H46" s="32"/>
      <c r="I46" s="32"/>
    </row>
    <row r="47" spans="1:9" x14ac:dyDescent="0.25">
      <c r="A47" s="59"/>
      <c r="B47" s="34">
        <v>3</v>
      </c>
      <c r="C47" s="30" t="s">
        <v>44</v>
      </c>
      <c r="D47" s="31">
        <v>4</v>
      </c>
      <c r="E47" s="32">
        <v>3</v>
      </c>
      <c r="F47" s="32"/>
      <c r="G47" s="32"/>
      <c r="H47" s="32"/>
      <c r="I47" s="32"/>
    </row>
    <row r="48" spans="1:9" x14ac:dyDescent="0.25">
      <c r="A48" s="59"/>
      <c r="B48" s="34">
        <v>4</v>
      </c>
      <c r="C48" s="30" t="s">
        <v>45</v>
      </c>
      <c r="D48" s="31">
        <v>4</v>
      </c>
      <c r="E48" s="32">
        <v>3</v>
      </c>
      <c r="F48" s="32"/>
      <c r="G48" s="32"/>
      <c r="H48" s="32"/>
      <c r="I48" s="32"/>
    </row>
    <row r="49" spans="1:9" x14ac:dyDescent="0.25">
      <c r="A49" s="59"/>
      <c r="B49" s="34">
        <v>5</v>
      </c>
      <c r="C49" s="30" t="s">
        <v>46</v>
      </c>
      <c r="D49" s="31">
        <v>4</v>
      </c>
      <c r="E49" s="32">
        <v>3</v>
      </c>
      <c r="F49" s="32"/>
      <c r="G49" s="32"/>
      <c r="H49" s="32"/>
      <c r="I49" s="32"/>
    </row>
    <row r="50" spans="1:9" x14ac:dyDescent="0.25">
      <c r="A50" s="60"/>
      <c r="B50" s="34">
        <v>6</v>
      </c>
      <c r="C50" s="30" t="s">
        <v>86</v>
      </c>
      <c r="D50" s="31">
        <v>4</v>
      </c>
      <c r="E50" s="32">
        <v>3</v>
      </c>
      <c r="F50" s="32"/>
      <c r="G50" s="32"/>
      <c r="H50" s="32"/>
      <c r="I50" s="32">
        <f>SUM(E45+E46+E47+E48+E49+E50)</f>
        <v>22</v>
      </c>
    </row>
    <row r="51" spans="1:9" ht="15" customHeight="1" x14ac:dyDescent="0.25">
      <c r="A51" s="58" t="s">
        <v>55</v>
      </c>
      <c r="B51" s="34">
        <v>1</v>
      </c>
      <c r="C51" s="30" t="s">
        <v>31</v>
      </c>
      <c r="D51" s="31">
        <v>12</v>
      </c>
      <c r="E51" s="32">
        <v>8</v>
      </c>
      <c r="F51" s="32"/>
      <c r="G51" s="32"/>
      <c r="H51" s="32"/>
      <c r="I51" s="32"/>
    </row>
    <row r="52" spans="1:9" x14ac:dyDescent="0.25">
      <c r="A52" s="59"/>
      <c r="B52" s="34">
        <v>2</v>
      </c>
      <c r="C52" s="30" t="s">
        <v>137</v>
      </c>
      <c r="D52" s="31">
        <v>6</v>
      </c>
      <c r="E52" s="32">
        <v>5</v>
      </c>
      <c r="F52" s="32"/>
      <c r="G52" s="32"/>
      <c r="H52" s="32"/>
      <c r="I52" s="32"/>
    </row>
    <row r="53" spans="1:9" x14ac:dyDescent="0.25">
      <c r="A53" s="59"/>
      <c r="B53" s="34">
        <v>3</v>
      </c>
      <c r="C53" s="30" t="s">
        <v>47</v>
      </c>
      <c r="D53" s="31">
        <v>4</v>
      </c>
      <c r="E53" s="32">
        <v>3</v>
      </c>
      <c r="F53" s="32"/>
      <c r="G53" s="32"/>
      <c r="H53" s="32"/>
      <c r="I53" s="32"/>
    </row>
    <row r="54" spans="1:9" x14ac:dyDescent="0.25">
      <c r="A54" s="59"/>
      <c r="B54" s="34">
        <v>4</v>
      </c>
      <c r="C54" s="30" t="s">
        <v>48</v>
      </c>
      <c r="D54" s="31">
        <v>4</v>
      </c>
      <c r="E54" s="32">
        <v>3</v>
      </c>
      <c r="F54" s="32"/>
      <c r="G54" s="32"/>
      <c r="H54" s="32"/>
      <c r="I54" s="32"/>
    </row>
    <row r="55" spans="1:9" x14ac:dyDescent="0.25">
      <c r="A55" s="60"/>
      <c r="B55" s="34">
        <v>5</v>
      </c>
      <c r="C55" s="30" t="s">
        <v>87</v>
      </c>
      <c r="D55" s="31">
        <v>4</v>
      </c>
      <c r="E55" s="32">
        <v>3</v>
      </c>
      <c r="F55" s="32"/>
      <c r="G55" s="32"/>
      <c r="H55" s="32"/>
      <c r="I55" s="32">
        <f>E51+E52+E53+E54+E55</f>
        <v>22</v>
      </c>
    </row>
    <row r="56" spans="1:9" ht="32.25" customHeight="1" x14ac:dyDescent="0.25">
      <c r="A56" s="80" t="s">
        <v>7</v>
      </c>
      <c r="B56" s="34">
        <v>1</v>
      </c>
      <c r="C56" s="30" t="s">
        <v>32</v>
      </c>
      <c r="D56" s="31">
        <v>28</v>
      </c>
      <c r="E56" s="32">
        <v>16</v>
      </c>
      <c r="F56" s="32"/>
      <c r="G56" s="32"/>
      <c r="H56" s="32"/>
      <c r="I56" s="32"/>
    </row>
    <row r="57" spans="1:9" ht="39" customHeight="1" x14ac:dyDescent="0.25">
      <c r="A57" s="81"/>
      <c r="B57" s="34">
        <v>2</v>
      </c>
      <c r="C57" s="30" t="s">
        <v>49</v>
      </c>
      <c r="D57" s="31">
        <v>2</v>
      </c>
      <c r="E57" s="32">
        <v>2</v>
      </c>
      <c r="F57" s="32"/>
      <c r="G57" s="32"/>
      <c r="H57" s="32"/>
      <c r="I57" s="32">
        <f>SUM(E56+E57)</f>
        <v>18</v>
      </c>
    </row>
    <row r="58" spans="1:9" ht="37.5" customHeight="1" x14ac:dyDescent="0.25">
      <c r="A58" s="82" t="s">
        <v>8</v>
      </c>
      <c r="B58" s="34">
        <v>1</v>
      </c>
      <c r="C58" s="30" t="s">
        <v>33</v>
      </c>
      <c r="D58" s="31">
        <v>28</v>
      </c>
      <c r="E58" s="32">
        <v>16</v>
      </c>
      <c r="F58" s="32"/>
      <c r="G58" s="32"/>
      <c r="H58" s="32"/>
      <c r="I58" s="32"/>
    </row>
    <row r="59" spans="1:9" ht="33" customHeight="1" x14ac:dyDescent="0.25">
      <c r="A59" s="82"/>
      <c r="B59" s="34">
        <v>2</v>
      </c>
      <c r="C59" s="30" t="s">
        <v>50</v>
      </c>
      <c r="D59" s="31">
        <v>2</v>
      </c>
      <c r="E59" s="32">
        <v>2</v>
      </c>
      <c r="F59" s="32"/>
      <c r="G59" s="32"/>
      <c r="H59" s="32"/>
      <c r="I59" s="32">
        <f>SUM(E58+E59)</f>
        <v>18</v>
      </c>
    </row>
  </sheetData>
  <mergeCells count="10">
    <mergeCell ref="A45:A50"/>
    <mergeCell ref="A51:A55"/>
    <mergeCell ref="A56:A57"/>
    <mergeCell ref="A58:A59"/>
    <mergeCell ref="A5:A10"/>
    <mergeCell ref="A11:A16"/>
    <mergeCell ref="A17:A23"/>
    <mergeCell ref="A24:A30"/>
    <mergeCell ref="A31:A37"/>
    <mergeCell ref="A38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75"/>
  <sheetViews>
    <sheetView zoomScale="85" zoomScaleNormal="85" zoomScaleSheetLayoutView="70" workbookViewId="0">
      <selection activeCell="A62" sqref="A62:G62"/>
    </sheetView>
  </sheetViews>
  <sheetFormatPr baseColWidth="10" defaultRowHeight="15" x14ac:dyDescent="0.25"/>
  <cols>
    <col min="1" max="1" width="4.85546875" customWidth="1"/>
    <col min="2" max="2" width="6.140625" customWidth="1"/>
    <col min="3" max="3" width="56.28515625" customWidth="1"/>
    <col min="4" max="4" width="7" customWidth="1"/>
    <col min="5" max="5" width="6.85546875" customWidth="1"/>
    <col min="6" max="6" width="7.85546875" customWidth="1"/>
    <col min="7" max="7" width="7.7109375" customWidth="1"/>
    <col min="8" max="8" width="9.42578125" customWidth="1"/>
    <col min="12" max="12" width="11.42578125" customWidth="1"/>
  </cols>
  <sheetData>
    <row r="1" spans="1:10" ht="19.149999999999999" customHeight="1" x14ac:dyDescent="0.25">
      <c r="A1" s="12"/>
      <c r="B1" s="16"/>
      <c r="C1" s="25" t="s">
        <v>163</v>
      </c>
      <c r="D1" s="18"/>
      <c r="E1" s="18"/>
      <c r="F1" s="18"/>
      <c r="G1" s="18"/>
      <c r="H1" s="11"/>
    </row>
    <row r="2" spans="1:10" ht="19.149999999999999" customHeight="1" x14ac:dyDescent="0.25">
      <c r="A2" s="12"/>
      <c r="B2" s="16"/>
      <c r="C2" s="24"/>
      <c r="D2" s="18"/>
      <c r="E2" s="18"/>
      <c r="F2" s="18"/>
      <c r="G2" s="18"/>
      <c r="H2" s="11"/>
    </row>
    <row r="3" spans="1:10" ht="19.149999999999999" customHeight="1" x14ac:dyDescent="0.25">
      <c r="A3" s="5" t="s">
        <v>108</v>
      </c>
      <c r="B3" s="5" t="s">
        <v>109</v>
      </c>
      <c r="C3" s="5" t="s">
        <v>0</v>
      </c>
      <c r="D3" s="5" t="s">
        <v>10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4"/>
    </row>
    <row r="4" spans="1:10" ht="19.149999999999999" customHeight="1" x14ac:dyDescent="0.25">
      <c r="A4" s="63" t="s">
        <v>56</v>
      </c>
      <c r="B4" s="7">
        <v>1</v>
      </c>
      <c r="C4" s="8" t="s">
        <v>57</v>
      </c>
      <c r="D4" s="9">
        <v>4</v>
      </c>
      <c r="E4" s="6">
        <v>3</v>
      </c>
      <c r="F4" s="6"/>
      <c r="G4" s="6"/>
      <c r="H4" s="6"/>
      <c r="I4" s="6"/>
      <c r="J4" s="4"/>
    </row>
    <row r="5" spans="1:10" ht="19.149999999999999" customHeight="1" x14ac:dyDescent="0.25">
      <c r="A5" s="63"/>
      <c r="B5" s="7">
        <v>2</v>
      </c>
      <c r="C5" s="8" t="s">
        <v>90</v>
      </c>
      <c r="D5" s="9">
        <v>4</v>
      </c>
      <c r="E5" s="6">
        <v>3</v>
      </c>
      <c r="F5" s="6"/>
      <c r="G5" s="6"/>
      <c r="H5" s="6"/>
      <c r="I5" s="6"/>
      <c r="J5" s="4"/>
    </row>
    <row r="6" spans="1:10" ht="19.149999999999999" customHeight="1" x14ac:dyDescent="0.25">
      <c r="A6" s="63"/>
      <c r="B6" s="7">
        <v>3</v>
      </c>
      <c r="C6" s="8" t="s">
        <v>20</v>
      </c>
      <c r="D6" s="9">
        <v>4</v>
      </c>
      <c r="E6" s="6">
        <v>3</v>
      </c>
      <c r="F6" s="6"/>
      <c r="G6" s="6"/>
      <c r="H6" s="6"/>
      <c r="I6" s="6"/>
      <c r="J6" s="4"/>
    </row>
    <row r="7" spans="1:10" ht="19.149999999999999" customHeight="1" x14ac:dyDescent="0.25">
      <c r="A7" s="63"/>
      <c r="B7" s="7">
        <v>4</v>
      </c>
      <c r="C7" s="8" t="s">
        <v>88</v>
      </c>
      <c r="D7" s="9">
        <v>6</v>
      </c>
      <c r="E7" s="6">
        <v>5</v>
      </c>
      <c r="F7" s="6"/>
      <c r="G7" s="6"/>
      <c r="H7" s="6"/>
      <c r="I7" s="6"/>
      <c r="J7" s="4"/>
    </row>
    <row r="8" spans="1:10" ht="19.149999999999999" customHeight="1" x14ac:dyDescent="0.25">
      <c r="A8" s="63"/>
      <c r="B8" s="7">
        <v>5</v>
      </c>
      <c r="C8" s="8" t="s">
        <v>93</v>
      </c>
      <c r="D8" s="9">
        <v>6</v>
      </c>
      <c r="E8" s="6">
        <v>5</v>
      </c>
      <c r="F8" s="6"/>
      <c r="G8" s="6"/>
      <c r="H8" s="6"/>
      <c r="I8" s="6"/>
      <c r="J8" s="4"/>
    </row>
    <row r="9" spans="1:10" ht="19.149999999999999" customHeight="1" x14ac:dyDescent="0.25">
      <c r="A9" s="63"/>
      <c r="B9" s="7">
        <v>6</v>
      </c>
      <c r="C9" s="8" t="s">
        <v>95</v>
      </c>
      <c r="D9" s="9">
        <v>6</v>
      </c>
      <c r="E9" s="6">
        <v>5</v>
      </c>
      <c r="F9" s="6"/>
      <c r="G9" s="6"/>
      <c r="H9" s="6"/>
      <c r="I9" s="6">
        <f>SUM(E4+E5+E6+E7+E8+E9)</f>
        <v>24</v>
      </c>
      <c r="J9" s="4"/>
    </row>
    <row r="10" spans="1:10" ht="19.149999999999999" customHeight="1" x14ac:dyDescent="0.25">
      <c r="A10" s="63" t="s">
        <v>51</v>
      </c>
      <c r="B10" s="7">
        <v>1</v>
      </c>
      <c r="C10" s="8" t="s">
        <v>19</v>
      </c>
      <c r="D10" s="9">
        <v>4</v>
      </c>
      <c r="E10" s="6">
        <v>3</v>
      </c>
      <c r="F10" s="6"/>
      <c r="G10" s="6"/>
      <c r="H10" s="6"/>
      <c r="I10" s="6"/>
      <c r="J10" s="4"/>
    </row>
    <row r="11" spans="1:10" ht="19.149999999999999" customHeight="1" x14ac:dyDescent="0.25">
      <c r="A11" s="63"/>
      <c r="B11" s="7">
        <v>2</v>
      </c>
      <c r="C11" s="8" t="s">
        <v>12</v>
      </c>
      <c r="D11" s="9">
        <v>4</v>
      </c>
      <c r="E11" s="6">
        <v>3</v>
      </c>
      <c r="F11" s="6"/>
      <c r="G11" s="6"/>
      <c r="H11" s="6"/>
      <c r="I11" s="6"/>
      <c r="J11" s="4"/>
    </row>
    <row r="12" spans="1:10" ht="19.149999999999999" customHeight="1" x14ac:dyDescent="0.25">
      <c r="A12" s="63"/>
      <c r="B12" s="7">
        <v>3</v>
      </c>
      <c r="C12" s="8" t="s">
        <v>22</v>
      </c>
      <c r="D12" s="9">
        <v>4</v>
      </c>
      <c r="E12" s="6">
        <v>3</v>
      </c>
      <c r="F12" s="6"/>
      <c r="G12" s="6"/>
      <c r="H12" s="6"/>
      <c r="I12" s="6"/>
      <c r="J12" s="4"/>
    </row>
    <row r="13" spans="1:10" ht="19.149999999999999" customHeight="1" x14ac:dyDescent="0.25">
      <c r="A13" s="63"/>
      <c r="B13" s="7">
        <v>4</v>
      </c>
      <c r="C13" s="8" t="s">
        <v>25</v>
      </c>
      <c r="D13" s="9">
        <v>6</v>
      </c>
      <c r="E13" s="6">
        <v>5</v>
      </c>
      <c r="F13" s="6"/>
      <c r="G13" s="6"/>
      <c r="H13" s="6"/>
      <c r="I13" s="6"/>
      <c r="J13" s="4"/>
    </row>
    <row r="14" spans="1:10" ht="19.149999999999999" customHeight="1" x14ac:dyDescent="0.25">
      <c r="A14" s="63"/>
      <c r="B14" s="7">
        <v>5</v>
      </c>
      <c r="C14" s="8" t="s">
        <v>94</v>
      </c>
      <c r="D14" s="9">
        <v>6</v>
      </c>
      <c r="E14" s="6">
        <v>5</v>
      </c>
      <c r="F14" s="6"/>
      <c r="G14" s="6"/>
      <c r="H14" s="6"/>
      <c r="I14" s="6"/>
      <c r="J14" s="4"/>
    </row>
    <row r="15" spans="1:10" ht="19.149999999999999" customHeight="1" x14ac:dyDescent="0.25">
      <c r="A15" s="63"/>
      <c r="B15" s="7">
        <v>6</v>
      </c>
      <c r="C15" s="8" t="s">
        <v>132</v>
      </c>
      <c r="D15" s="9">
        <v>6</v>
      </c>
      <c r="E15" s="6">
        <v>5</v>
      </c>
      <c r="F15" s="6"/>
      <c r="G15" s="6"/>
      <c r="H15" s="6"/>
      <c r="I15" s="6">
        <f>SUM(E10+E11+E12+E13+E14+E15)</f>
        <v>24</v>
      </c>
      <c r="J15" s="4"/>
    </row>
    <row r="16" spans="1:10" ht="19.149999999999999" customHeight="1" x14ac:dyDescent="0.25">
      <c r="A16" s="63" t="s">
        <v>52</v>
      </c>
      <c r="B16" s="7">
        <v>1</v>
      </c>
      <c r="C16" s="8" t="s">
        <v>13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63"/>
      <c r="B17" s="7">
        <v>2</v>
      </c>
      <c r="C17" s="8" t="s">
        <v>144</v>
      </c>
      <c r="D17" s="9">
        <v>4</v>
      </c>
      <c r="E17" s="6">
        <v>3</v>
      </c>
      <c r="F17" s="6"/>
      <c r="G17" s="6"/>
      <c r="H17" s="6"/>
      <c r="I17" s="6"/>
      <c r="J17" s="20"/>
      <c r="K17" s="19"/>
      <c r="L17" s="19"/>
      <c r="M17" s="19"/>
      <c r="N17" s="19"/>
      <c r="O17" s="19"/>
      <c r="P17" s="19"/>
      <c r="Q17" s="19"/>
      <c r="R17" s="19"/>
    </row>
    <row r="18" spans="1:18" ht="19.149999999999999" customHeight="1" x14ac:dyDescent="0.25">
      <c r="A18" s="63"/>
      <c r="B18" s="7">
        <v>3</v>
      </c>
      <c r="C18" s="8" t="s">
        <v>21</v>
      </c>
      <c r="D18" s="9">
        <v>4</v>
      </c>
      <c r="E18" s="6">
        <v>3</v>
      </c>
      <c r="F18" s="6"/>
      <c r="G18" s="6"/>
      <c r="H18" s="6"/>
      <c r="I18" s="6"/>
      <c r="J18" s="20"/>
      <c r="K18" s="19"/>
      <c r="L18" s="19"/>
      <c r="M18" s="19"/>
      <c r="N18" s="19"/>
      <c r="O18" s="19"/>
      <c r="P18" s="19"/>
      <c r="Q18" s="19"/>
      <c r="R18" s="19"/>
    </row>
    <row r="19" spans="1:18" ht="19.149999999999999" customHeight="1" x14ac:dyDescent="0.25">
      <c r="A19" s="63"/>
      <c r="B19" s="7">
        <v>4</v>
      </c>
      <c r="C19" s="8" t="s">
        <v>26</v>
      </c>
      <c r="D19" s="9">
        <v>6</v>
      </c>
      <c r="E19" s="6">
        <v>5</v>
      </c>
      <c r="F19" s="6"/>
      <c r="G19" s="6"/>
      <c r="H19" s="6"/>
      <c r="I19" s="6"/>
      <c r="J19" s="13"/>
      <c r="K19" s="13"/>
      <c r="L19" s="13"/>
      <c r="M19" s="13"/>
      <c r="N19" s="13"/>
      <c r="O19" s="13"/>
      <c r="P19" s="13"/>
      <c r="Q19" s="13"/>
      <c r="R19" s="14"/>
    </row>
    <row r="20" spans="1:18" ht="19.149999999999999" customHeight="1" x14ac:dyDescent="0.25">
      <c r="A20" s="63"/>
      <c r="B20" s="7">
        <v>5</v>
      </c>
      <c r="C20" s="8" t="s">
        <v>96</v>
      </c>
      <c r="D20" s="9">
        <v>4</v>
      </c>
      <c r="E20" s="6">
        <v>3</v>
      </c>
      <c r="F20" s="6"/>
      <c r="G20" s="6"/>
      <c r="H20" s="6"/>
      <c r="I20" s="6"/>
      <c r="J20" s="64"/>
      <c r="K20" s="15"/>
      <c r="L20" s="12"/>
      <c r="M20" s="16"/>
      <c r="N20" s="17"/>
      <c r="O20" s="18"/>
      <c r="P20" s="18"/>
      <c r="Q20" s="18"/>
      <c r="R20" s="18"/>
    </row>
    <row r="21" spans="1:18" ht="19.149999999999999" customHeight="1" x14ac:dyDescent="0.25">
      <c r="A21" s="63"/>
      <c r="B21" s="7">
        <v>6</v>
      </c>
      <c r="C21" s="8" t="s">
        <v>138</v>
      </c>
      <c r="D21" s="9">
        <v>4</v>
      </c>
      <c r="E21" s="6">
        <v>3</v>
      </c>
      <c r="F21" s="6"/>
      <c r="G21" s="6"/>
      <c r="H21" s="6"/>
      <c r="I21" s="6"/>
      <c r="J21" s="64"/>
      <c r="K21" s="15"/>
      <c r="L21" s="12"/>
      <c r="M21" s="16"/>
      <c r="N21" s="17"/>
      <c r="O21" s="18"/>
      <c r="P21" s="18"/>
      <c r="Q21" s="18"/>
      <c r="R21" s="18"/>
    </row>
    <row r="22" spans="1:18" ht="19.149999999999999" customHeight="1" x14ac:dyDescent="0.25">
      <c r="A22" s="63"/>
      <c r="B22" s="7">
        <v>7</v>
      </c>
      <c r="C22" s="8" t="s">
        <v>82</v>
      </c>
      <c r="D22" s="9">
        <v>4</v>
      </c>
      <c r="E22" s="6">
        <v>3</v>
      </c>
      <c r="F22" s="6"/>
      <c r="G22" s="6"/>
      <c r="H22" s="6"/>
      <c r="I22" s="6">
        <f>SUM(E18+E16+E17+E19+E20+E21+E22)</f>
        <v>23</v>
      </c>
      <c r="J22" s="64"/>
      <c r="K22" s="15"/>
      <c r="L22" s="12"/>
      <c r="M22" s="16"/>
      <c r="N22" s="17"/>
      <c r="O22" s="18"/>
      <c r="P22" s="18"/>
      <c r="Q22" s="18"/>
      <c r="R22" s="18"/>
    </row>
    <row r="23" spans="1:18" ht="19.149999999999999" customHeight="1" x14ac:dyDescent="0.25">
      <c r="A23" s="63" t="s">
        <v>53</v>
      </c>
      <c r="B23" s="7">
        <v>1</v>
      </c>
      <c r="C23" s="8" t="s">
        <v>143</v>
      </c>
      <c r="D23" s="9">
        <v>4</v>
      </c>
      <c r="E23" s="6">
        <v>3</v>
      </c>
      <c r="F23" s="6"/>
      <c r="G23" s="6"/>
      <c r="H23" s="6"/>
      <c r="I23" s="6"/>
      <c r="J23" s="64"/>
      <c r="K23" s="15"/>
      <c r="L23" s="12"/>
      <c r="M23" s="16"/>
      <c r="N23" s="17"/>
      <c r="O23" s="18"/>
      <c r="P23" s="18"/>
      <c r="Q23" s="18"/>
      <c r="R23" s="18"/>
    </row>
    <row r="24" spans="1:18" ht="19.149999999999999" customHeight="1" x14ac:dyDescent="0.25">
      <c r="A24" s="63"/>
      <c r="B24" s="7">
        <v>2</v>
      </c>
      <c r="C24" s="8" t="s">
        <v>14</v>
      </c>
      <c r="D24" s="9">
        <v>4</v>
      </c>
      <c r="E24" s="6">
        <v>3</v>
      </c>
      <c r="F24" s="6"/>
      <c r="G24" s="6"/>
      <c r="H24" s="6"/>
      <c r="I24" s="6"/>
      <c r="J24" s="64"/>
      <c r="K24" s="15"/>
      <c r="L24" s="12"/>
      <c r="M24" s="16"/>
      <c r="N24" s="17"/>
      <c r="O24" s="18"/>
      <c r="P24" s="18"/>
      <c r="Q24" s="18"/>
      <c r="R24" s="18"/>
    </row>
    <row r="25" spans="1:18" ht="19.149999999999999" customHeight="1" x14ac:dyDescent="0.25">
      <c r="A25" s="63"/>
      <c r="B25" s="7">
        <v>3</v>
      </c>
      <c r="C25" s="8" t="s">
        <v>23</v>
      </c>
      <c r="D25" s="9">
        <v>4</v>
      </c>
      <c r="E25" s="6">
        <v>3</v>
      </c>
      <c r="F25" s="6"/>
      <c r="G25" s="6"/>
      <c r="H25" s="6"/>
      <c r="I25" s="6"/>
      <c r="J25" s="64"/>
      <c r="K25" s="15"/>
      <c r="L25" s="12"/>
      <c r="M25" s="16"/>
      <c r="N25" s="17"/>
      <c r="O25" s="18"/>
      <c r="P25" s="18"/>
      <c r="Q25" s="18"/>
      <c r="R25" s="18"/>
    </row>
    <row r="26" spans="1:18" ht="19.149999999999999" customHeight="1" x14ac:dyDescent="0.25">
      <c r="A26" s="63"/>
      <c r="B26" s="7">
        <v>4</v>
      </c>
      <c r="C26" s="8" t="s">
        <v>27</v>
      </c>
      <c r="D26" s="9">
        <v>6</v>
      </c>
      <c r="E26" s="6">
        <v>5</v>
      </c>
      <c r="F26" s="6"/>
      <c r="G26" s="6"/>
      <c r="H26" s="6"/>
      <c r="I26" s="6"/>
      <c r="J26" s="64"/>
      <c r="K26" s="15"/>
      <c r="L26" s="12"/>
      <c r="M26" s="16"/>
      <c r="N26" s="17"/>
      <c r="O26" s="18"/>
      <c r="P26" s="18"/>
      <c r="Q26" s="18"/>
      <c r="R26" s="18"/>
    </row>
    <row r="27" spans="1:18" ht="19.149999999999999" customHeight="1" x14ac:dyDescent="0.25">
      <c r="A27" s="63"/>
      <c r="B27" s="7">
        <v>5</v>
      </c>
      <c r="C27" s="8" t="s">
        <v>139</v>
      </c>
      <c r="D27" s="9">
        <v>4</v>
      </c>
      <c r="E27" s="6">
        <v>3</v>
      </c>
      <c r="F27" s="6"/>
      <c r="G27" s="6"/>
      <c r="H27" s="6"/>
      <c r="I27" s="6"/>
      <c r="J27" s="64"/>
      <c r="K27" s="15"/>
      <c r="L27" s="12"/>
      <c r="M27" s="16"/>
      <c r="N27" s="17"/>
      <c r="O27" s="18"/>
      <c r="P27" s="18"/>
      <c r="Q27" s="18"/>
      <c r="R27" s="18"/>
    </row>
    <row r="28" spans="1:18" ht="19.149999999999999" customHeight="1" x14ac:dyDescent="0.25">
      <c r="A28" s="63"/>
      <c r="B28" s="7">
        <v>6</v>
      </c>
      <c r="C28" s="8" t="s">
        <v>99</v>
      </c>
      <c r="D28" s="9">
        <v>4</v>
      </c>
      <c r="E28" s="6">
        <v>3</v>
      </c>
      <c r="F28" s="6"/>
      <c r="G28" s="6"/>
      <c r="H28" s="6"/>
      <c r="I28" s="6"/>
      <c r="J28" s="64"/>
      <c r="K28" s="15"/>
      <c r="L28" s="12"/>
      <c r="M28" s="16"/>
      <c r="N28" s="17"/>
      <c r="O28" s="18"/>
      <c r="P28" s="18"/>
      <c r="Q28" s="18"/>
      <c r="R28" s="18"/>
    </row>
    <row r="29" spans="1:18" ht="19.149999999999999" customHeight="1" x14ac:dyDescent="0.25">
      <c r="A29" s="63"/>
      <c r="B29" s="7">
        <v>7</v>
      </c>
      <c r="C29" s="8" t="s">
        <v>83</v>
      </c>
      <c r="D29" s="9">
        <v>4</v>
      </c>
      <c r="E29" s="6">
        <v>3</v>
      </c>
      <c r="F29" s="6"/>
      <c r="G29" s="6"/>
      <c r="H29" s="6"/>
      <c r="I29" s="6">
        <f>SUM(E23+E24+E25+E26+E27+E28+E29)</f>
        <v>23</v>
      </c>
      <c r="J29" s="64"/>
      <c r="K29" s="15"/>
      <c r="L29" s="12"/>
      <c r="M29" s="16"/>
      <c r="N29" s="17"/>
      <c r="O29" s="18"/>
      <c r="P29" s="18"/>
      <c r="Q29" s="18"/>
      <c r="R29" s="18"/>
    </row>
    <row r="30" spans="1:18" ht="19.149999999999999" customHeight="1" x14ac:dyDescent="0.25">
      <c r="A30" s="63" t="s">
        <v>161</v>
      </c>
      <c r="B30" s="7">
        <v>1</v>
      </c>
      <c r="C30" s="8" t="s">
        <v>142</v>
      </c>
      <c r="D30" s="9">
        <v>4</v>
      </c>
      <c r="E30" s="6">
        <v>3</v>
      </c>
      <c r="F30" s="6"/>
      <c r="G30" s="6"/>
      <c r="H30" s="6"/>
      <c r="I30" s="6"/>
      <c r="J30" s="64"/>
      <c r="K30" s="15"/>
      <c r="L30" s="12"/>
      <c r="M30" s="16"/>
      <c r="N30" s="17"/>
      <c r="O30" s="18"/>
      <c r="P30" s="18"/>
      <c r="Q30" s="18"/>
      <c r="R30" s="18"/>
    </row>
    <row r="31" spans="1:18" ht="19.149999999999999" customHeight="1" x14ac:dyDescent="0.25">
      <c r="A31" s="63"/>
      <c r="B31" s="7">
        <v>2</v>
      </c>
      <c r="C31" s="8" t="s">
        <v>15</v>
      </c>
      <c r="D31" s="9">
        <v>4</v>
      </c>
      <c r="E31" s="6">
        <v>3</v>
      </c>
      <c r="F31" s="6"/>
      <c r="G31" s="6"/>
      <c r="H31" s="6"/>
      <c r="I31" s="6"/>
      <c r="J31" s="64"/>
      <c r="K31" s="15"/>
      <c r="L31" s="12"/>
      <c r="M31" s="16"/>
      <c r="N31" s="17"/>
      <c r="O31" s="18"/>
      <c r="P31" s="18"/>
      <c r="Q31" s="18"/>
      <c r="R31" s="18"/>
    </row>
    <row r="32" spans="1:18" ht="19.149999999999999" customHeight="1" x14ac:dyDescent="0.25">
      <c r="A32" s="63"/>
      <c r="B32" s="7">
        <v>3</v>
      </c>
      <c r="C32" s="8" t="s">
        <v>28</v>
      </c>
      <c r="D32" s="9">
        <v>6</v>
      </c>
      <c r="E32" s="6">
        <v>5</v>
      </c>
      <c r="F32" s="6"/>
      <c r="G32" s="6"/>
      <c r="H32" s="6"/>
      <c r="I32" s="6"/>
      <c r="J32" s="64"/>
      <c r="K32" s="15"/>
      <c r="L32" s="12"/>
      <c r="M32" s="16"/>
      <c r="N32" s="17"/>
      <c r="O32" s="18"/>
      <c r="P32" s="18"/>
      <c r="Q32" s="18"/>
      <c r="R32" s="18"/>
    </row>
    <row r="33" spans="1:18" ht="19.149999999999999" customHeight="1" x14ac:dyDescent="0.25">
      <c r="A33" s="63"/>
      <c r="B33" s="7">
        <v>4</v>
      </c>
      <c r="C33" s="8" t="s">
        <v>97</v>
      </c>
      <c r="D33" s="9">
        <v>4</v>
      </c>
      <c r="E33" s="6">
        <v>3</v>
      </c>
      <c r="F33" s="6"/>
      <c r="G33" s="6"/>
      <c r="H33" s="6"/>
      <c r="I33" s="6"/>
      <c r="J33" s="64"/>
      <c r="K33" s="15"/>
      <c r="L33" s="12"/>
      <c r="M33" s="16"/>
      <c r="N33" s="17"/>
      <c r="O33" s="18"/>
      <c r="P33" s="18"/>
      <c r="Q33" s="18"/>
      <c r="R33" s="18"/>
    </row>
    <row r="34" spans="1:18" ht="18" customHeight="1" x14ac:dyDescent="0.25">
      <c r="A34" s="63"/>
      <c r="B34" s="7">
        <v>5</v>
      </c>
      <c r="C34" s="8" t="s">
        <v>140</v>
      </c>
      <c r="D34" s="9">
        <v>4</v>
      </c>
      <c r="E34" s="6">
        <v>3</v>
      </c>
      <c r="F34" s="6"/>
      <c r="G34" s="6"/>
      <c r="H34" s="6"/>
      <c r="I34" s="6"/>
      <c r="J34" s="64"/>
      <c r="K34" s="15"/>
      <c r="L34" s="12"/>
      <c r="M34" s="16"/>
      <c r="N34" s="17"/>
      <c r="O34" s="18"/>
      <c r="P34" s="18"/>
      <c r="Q34" s="18"/>
      <c r="R34" s="18"/>
    </row>
    <row r="35" spans="1:18" ht="18" customHeight="1" x14ac:dyDescent="0.25">
      <c r="A35" s="63"/>
      <c r="B35" s="7">
        <v>6</v>
      </c>
      <c r="C35" s="8" t="s">
        <v>106</v>
      </c>
      <c r="D35" s="9">
        <v>4</v>
      </c>
      <c r="E35" s="6">
        <v>3</v>
      </c>
      <c r="F35" s="6"/>
      <c r="G35" s="6"/>
      <c r="H35" s="6"/>
      <c r="I35" s="6"/>
      <c r="J35" s="64"/>
      <c r="K35" s="15"/>
      <c r="L35" s="12"/>
      <c r="M35" s="16"/>
      <c r="N35" s="17"/>
      <c r="O35" s="18"/>
      <c r="P35" s="18"/>
      <c r="Q35" s="18"/>
      <c r="R35" s="18"/>
    </row>
    <row r="36" spans="1:18" ht="21.6" customHeight="1" x14ac:dyDescent="0.25">
      <c r="A36" s="63"/>
      <c r="B36" s="7">
        <v>7</v>
      </c>
      <c r="C36" s="8" t="s">
        <v>84</v>
      </c>
      <c r="D36" s="9">
        <v>4</v>
      </c>
      <c r="E36" s="6">
        <v>3</v>
      </c>
      <c r="F36" s="6"/>
      <c r="G36" s="6"/>
      <c r="H36" s="6"/>
      <c r="I36" s="6">
        <f>SUM(E30+E31+E32+E33+E34+E35+E36)</f>
        <v>23</v>
      </c>
      <c r="J36" s="64"/>
      <c r="K36" s="15"/>
      <c r="L36" s="12"/>
      <c r="M36" s="16"/>
      <c r="N36" s="17"/>
      <c r="O36" s="18"/>
      <c r="P36" s="18"/>
      <c r="Q36" s="18"/>
      <c r="R36" s="18"/>
    </row>
    <row r="37" spans="1:18" ht="28.15" customHeight="1" x14ac:dyDescent="0.25">
      <c r="A37" s="63" t="s">
        <v>160</v>
      </c>
      <c r="B37" s="7">
        <v>1</v>
      </c>
      <c r="C37" s="8" t="s">
        <v>141</v>
      </c>
      <c r="D37" s="9">
        <v>4</v>
      </c>
      <c r="E37" s="6">
        <v>3</v>
      </c>
      <c r="F37" s="6"/>
      <c r="G37" s="6"/>
      <c r="H37" s="6"/>
      <c r="I37" s="6"/>
      <c r="J37" s="64"/>
      <c r="K37" s="15"/>
      <c r="L37" s="12"/>
      <c r="M37" s="16"/>
      <c r="N37" s="17"/>
      <c r="O37" s="18"/>
      <c r="P37" s="18"/>
      <c r="Q37" s="18"/>
      <c r="R37" s="18"/>
    </row>
    <row r="38" spans="1:18" ht="19.899999999999999" customHeight="1" x14ac:dyDescent="0.25">
      <c r="A38" s="63"/>
      <c r="B38" s="7">
        <v>2</v>
      </c>
      <c r="C38" s="8" t="s">
        <v>16</v>
      </c>
      <c r="D38" s="9">
        <v>4</v>
      </c>
      <c r="E38" s="6">
        <v>3</v>
      </c>
      <c r="F38" s="6"/>
      <c r="G38" s="6"/>
      <c r="H38" s="6"/>
      <c r="I38" s="6"/>
      <c r="J38" s="64"/>
      <c r="K38" s="15"/>
      <c r="L38" s="12"/>
      <c r="M38" s="16"/>
      <c r="N38" s="17"/>
      <c r="O38" s="18"/>
      <c r="P38" s="18"/>
      <c r="Q38" s="18"/>
      <c r="R38" s="18"/>
    </row>
    <row r="39" spans="1:18" ht="19.899999999999999" customHeight="1" x14ac:dyDescent="0.25">
      <c r="A39" s="63"/>
      <c r="B39" s="7">
        <v>3</v>
      </c>
      <c r="C39" s="8" t="s">
        <v>29</v>
      </c>
      <c r="D39" s="9">
        <v>6</v>
      </c>
      <c r="E39" s="6">
        <v>5</v>
      </c>
      <c r="F39" s="6"/>
      <c r="G39" s="6"/>
      <c r="H39" s="6"/>
      <c r="I39" s="6"/>
      <c r="J39" s="64"/>
      <c r="K39" s="15"/>
      <c r="L39" s="12"/>
      <c r="M39" s="16"/>
      <c r="N39" s="17"/>
      <c r="O39" s="18"/>
      <c r="P39" s="18"/>
      <c r="Q39" s="18"/>
      <c r="R39" s="18"/>
    </row>
    <row r="40" spans="1:18" ht="19.899999999999999" customHeight="1" x14ac:dyDescent="0.25">
      <c r="A40" s="63"/>
      <c r="B40" s="7">
        <v>4</v>
      </c>
      <c r="C40" s="8" t="s">
        <v>100</v>
      </c>
      <c r="D40" s="9">
        <v>4</v>
      </c>
      <c r="E40" s="6">
        <v>3</v>
      </c>
      <c r="F40" s="6"/>
      <c r="G40" s="6"/>
      <c r="H40" s="6"/>
      <c r="I40" s="6"/>
      <c r="J40" s="64"/>
      <c r="K40" s="15"/>
      <c r="L40" s="12"/>
      <c r="M40" s="16"/>
      <c r="N40" s="17"/>
      <c r="O40" s="18"/>
      <c r="P40" s="18"/>
      <c r="Q40" s="18"/>
      <c r="R40" s="18"/>
    </row>
    <row r="41" spans="1:18" ht="19.899999999999999" customHeight="1" x14ac:dyDescent="0.25">
      <c r="A41" s="63"/>
      <c r="B41" s="7">
        <v>5</v>
      </c>
      <c r="C41" s="8" t="s">
        <v>101</v>
      </c>
      <c r="D41" s="9">
        <v>4</v>
      </c>
      <c r="E41" s="6">
        <v>3</v>
      </c>
      <c r="F41" s="6"/>
      <c r="G41" s="6"/>
      <c r="H41" s="6"/>
      <c r="I41" s="6"/>
      <c r="J41" s="64"/>
      <c r="K41" s="15"/>
      <c r="L41" s="12"/>
      <c r="M41" s="16"/>
      <c r="N41" s="17"/>
      <c r="O41" s="18"/>
      <c r="P41" s="18"/>
      <c r="Q41" s="18"/>
      <c r="R41" s="18"/>
    </row>
    <row r="42" spans="1:18" ht="19.899999999999999" customHeight="1" x14ac:dyDescent="0.25">
      <c r="A42" s="63"/>
      <c r="B42" s="7">
        <v>6</v>
      </c>
      <c r="C42" s="8" t="s">
        <v>102</v>
      </c>
      <c r="D42" s="9">
        <v>4</v>
      </c>
      <c r="E42" s="6">
        <v>3</v>
      </c>
      <c r="F42" s="6"/>
      <c r="G42" s="6"/>
      <c r="H42" s="6"/>
      <c r="I42" s="6"/>
      <c r="J42" s="64"/>
      <c r="K42" s="15"/>
      <c r="L42" s="12"/>
      <c r="M42" s="16"/>
      <c r="N42" s="17"/>
      <c r="O42" s="18"/>
      <c r="P42" s="18"/>
      <c r="Q42" s="18"/>
      <c r="R42" s="18"/>
    </row>
    <row r="43" spans="1:18" ht="19.899999999999999" customHeight="1" x14ac:dyDescent="0.25">
      <c r="A43" s="63"/>
      <c r="B43" s="7">
        <v>7</v>
      </c>
      <c r="C43" s="8" t="s">
        <v>85</v>
      </c>
      <c r="D43" s="9">
        <v>4</v>
      </c>
      <c r="E43" s="6">
        <v>3</v>
      </c>
      <c r="F43" s="6"/>
      <c r="G43" s="6"/>
      <c r="H43" s="6"/>
      <c r="I43" s="6">
        <f>SUM(E37+E38+E39+E40+E41+E42+E43)</f>
        <v>23</v>
      </c>
      <c r="J43" s="64"/>
      <c r="K43" s="15"/>
      <c r="L43" s="12"/>
      <c r="M43" s="16"/>
      <c r="N43" s="17"/>
      <c r="O43" s="18"/>
      <c r="P43" s="18"/>
      <c r="Q43" s="18"/>
      <c r="R43" s="18"/>
    </row>
    <row r="44" spans="1:18" ht="19.899999999999999" customHeight="1" x14ac:dyDescent="0.25">
      <c r="A44" s="63" t="s">
        <v>54</v>
      </c>
      <c r="B44" s="7">
        <v>1</v>
      </c>
      <c r="C44" s="8" t="s">
        <v>59</v>
      </c>
      <c r="D44" s="9">
        <v>4</v>
      </c>
      <c r="E44" s="6">
        <v>3</v>
      </c>
      <c r="F44" s="6"/>
      <c r="G44" s="6"/>
      <c r="H44" s="6"/>
      <c r="I44" s="6"/>
      <c r="J44" s="64"/>
      <c r="K44" s="15"/>
      <c r="L44" s="12"/>
      <c r="M44" s="16"/>
      <c r="N44" s="17"/>
      <c r="O44" s="18"/>
      <c r="P44" s="18"/>
      <c r="Q44" s="18"/>
      <c r="R44" s="18"/>
    </row>
    <row r="45" spans="1:18" ht="19.899999999999999" customHeight="1" x14ac:dyDescent="0.25">
      <c r="A45" s="63"/>
      <c r="B45" s="7">
        <v>2</v>
      </c>
      <c r="C45" s="8" t="s">
        <v>30</v>
      </c>
      <c r="D45" s="9">
        <v>10</v>
      </c>
      <c r="E45" s="6">
        <v>7</v>
      </c>
      <c r="F45" s="6"/>
      <c r="G45" s="6"/>
      <c r="H45" s="6"/>
      <c r="I45" s="6"/>
      <c r="J45" s="64"/>
      <c r="K45" s="15"/>
      <c r="L45" s="12"/>
      <c r="M45" s="16"/>
      <c r="N45" s="17"/>
      <c r="O45" s="18"/>
      <c r="P45" s="18"/>
      <c r="Q45" s="18"/>
      <c r="R45" s="18"/>
    </row>
    <row r="46" spans="1:18" ht="19.899999999999999" customHeight="1" x14ac:dyDescent="0.25">
      <c r="A46" s="63"/>
      <c r="B46" s="7">
        <v>3</v>
      </c>
      <c r="C46" s="8" t="s">
        <v>98</v>
      </c>
      <c r="D46" s="9">
        <v>4</v>
      </c>
      <c r="E46" s="6">
        <v>3</v>
      </c>
      <c r="F46" s="6"/>
      <c r="G46" s="6"/>
      <c r="H46" s="6"/>
      <c r="I46" s="6"/>
      <c r="J46" s="64"/>
      <c r="K46" s="15"/>
      <c r="L46" s="12"/>
      <c r="M46" s="16"/>
      <c r="N46" s="17"/>
      <c r="O46" s="18"/>
      <c r="P46" s="18"/>
      <c r="Q46" s="18"/>
      <c r="R46" s="18"/>
    </row>
    <row r="47" spans="1:18" ht="19.899999999999999" customHeight="1" x14ac:dyDescent="0.25">
      <c r="A47" s="63"/>
      <c r="B47" s="7">
        <v>4</v>
      </c>
      <c r="C47" s="8" t="s">
        <v>145</v>
      </c>
      <c r="D47" s="9">
        <v>4</v>
      </c>
      <c r="E47" s="6">
        <v>3</v>
      </c>
      <c r="F47" s="6"/>
      <c r="G47" s="6"/>
      <c r="H47" s="6"/>
      <c r="I47" s="6"/>
      <c r="J47" s="64"/>
      <c r="K47" s="15"/>
      <c r="L47" s="12"/>
      <c r="M47" s="16"/>
      <c r="N47" s="17"/>
      <c r="O47" s="18"/>
      <c r="P47" s="18"/>
      <c r="Q47" s="18"/>
      <c r="R47" s="18"/>
    </row>
    <row r="48" spans="1:18" ht="19.899999999999999" customHeight="1" x14ac:dyDescent="0.25">
      <c r="A48" s="63"/>
      <c r="B48" s="7">
        <v>5</v>
      </c>
      <c r="C48" s="8" t="s">
        <v>107</v>
      </c>
      <c r="D48" s="9">
        <v>4</v>
      </c>
      <c r="E48" s="6">
        <v>3</v>
      </c>
      <c r="F48" s="6"/>
      <c r="G48" s="6"/>
      <c r="H48" s="6"/>
      <c r="I48" s="6"/>
      <c r="J48" s="64"/>
      <c r="K48" s="15"/>
      <c r="L48" s="12"/>
      <c r="M48" s="16"/>
      <c r="N48" s="17"/>
      <c r="O48" s="18"/>
      <c r="P48" s="18"/>
      <c r="Q48" s="18"/>
      <c r="R48" s="18"/>
    </row>
    <row r="49" spans="1:18" ht="19.899999999999999" customHeight="1" x14ac:dyDescent="0.25">
      <c r="A49" s="63"/>
      <c r="B49" s="7">
        <v>6</v>
      </c>
      <c r="C49" s="8" t="s">
        <v>86</v>
      </c>
      <c r="D49" s="9">
        <v>4</v>
      </c>
      <c r="E49" s="6">
        <v>3</v>
      </c>
      <c r="F49" s="6"/>
      <c r="G49" s="6"/>
      <c r="H49" s="6"/>
      <c r="I49" s="6">
        <f>SUM(E44+E45+E46+E47+E48+E49)</f>
        <v>22</v>
      </c>
      <c r="J49" s="64"/>
      <c r="K49" s="15"/>
      <c r="L49" s="12"/>
      <c r="M49" s="16"/>
      <c r="N49" s="17"/>
      <c r="O49" s="18"/>
      <c r="P49" s="18"/>
      <c r="Q49" s="18"/>
      <c r="R49" s="18"/>
    </row>
    <row r="50" spans="1:18" ht="19.899999999999999" customHeight="1" x14ac:dyDescent="0.25">
      <c r="A50" s="63" t="s">
        <v>55</v>
      </c>
      <c r="B50" s="7">
        <v>1</v>
      </c>
      <c r="C50" s="8" t="s">
        <v>31</v>
      </c>
      <c r="D50" s="9">
        <v>12</v>
      </c>
      <c r="E50" s="6">
        <v>8</v>
      </c>
      <c r="F50" s="6"/>
      <c r="G50" s="6"/>
      <c r="H50" s="6"/>
      <c r="I50" s="6"/>
      <c r="J50" s="64"/>
      <c r="K50" s="15"/>
      <c r="L50" s="12"/>
      <c r="M50" s="16"/>
      <c r="N50" s="17"/>
      <c r="O50" s="18"/>
      <c r="P50" s="18"/>
      <c r="Q50" s="18"/>
      <c r="R50" s="18"/>
    </row>
    <row r="51" spans="1:18" ht="19.899999999999999" customHeight="1" x14ac:dyDescent="0.25">
      <c r="A51" s="63"/>
      <c r="B51" s="7">
        <v>2</v>
      </c>
      <c r="C51" s="8" t="s">
        <v>137</v>
      </c>
      <c r="D51" s="9">
        <v>6</v>
      </c>
      <c r="E51" s="6">
        <v>5</v>
      </c>
      <c r="F51" s="6"/>
      <c r="G51" s="6"/>
      <c r="H51" s="6"/>
      <c r="I51" s="6"/>
      <c r="J51" s="64"/>
      <c r="K51" s="15"/>
      <c r="L51" s="12"/>
      <c r="M51" s="16"/>
      <c r="N51" s="17"/>
      <c r="O51" s="18"/>
      <c r="P51" s="18"/>
      <c r="Q51" s="18"/>
      <c r="R51" s="18"/>
    </row>
    <row r="52" spans="1:18" ht="19.899999999999999" customHeight="1" x14ac:dyDescent="0.25">
      <c r="A52" s="63"/>
      <c r="B52" s="7">
        <v>3</v>
      </c>
      <c r="C52" s="8" t="s">
        <v>103</v>
      </c>
      <c r="D52" s="9">
        <v>4</v>
      </c>
      <c r="E52" s="6">
        <v>3</v>
      </c>
      <c r="F52" s="6"/>
      <c r="G52" s="6"/>
      <c r="H52" s="6"/>
      <c r="I52" s="6"/>
      <c r="J52" s="64"/>
      <c r="K52" s="15"/>
      <c r="L52" s="12"/>
      <c r="M52" s="16"/>
      <c r="N52" s="17"/>
      <c r="O52" s="18"/>
      <c r="P52" s="18"/>
      <c r="Q52" s="18"/>
      <c r="R52" s="18"/>
    </row>
    <row r="53" spans="1:18" ht="19.899999999999999" customHeight="1" x14ac:dyDescent="0.25">
      <c r="A53" s="63"/>
      <c r="B53" s="7">
        <v>4</v>
      </c>
      <c r="C53" s="8" t="s">
        <v>146</v>
      </c>
      <c r="D53" s="9">
        <v>4</v>
      </c>
      <c r="E53" s="6">
        <v>3</v>
      </c>
      <c r="F53" s="6"/>
      <c r="G53" s="6"/>
      <c r="H53" s="6"/>
      <c r="I53" s="6"/>
      <c r="J53" s="64"/>
      <c r="K53" s="15"/>
      <c r="L53" s="12"/>
      <c r="M53" s="16"/>
      <c r="N53" s="17"/>
      <c r="O53" s="18"/>
      <c r="P53" s="18"/>
      <c r="Q53" s="18"/>
      <c r="R53" s="18"/>
    </row>
    <row r="54" spans="1:18" ht="19.899999999999999" customHeight="1" x14ac:dyDescent="0.25">
      <c r="A54" s="63"/>
      <c r="B54" s="7">
        <v>5</v>
      </c>
      <c r="C54" s="8" t="s">
        <v>87</v>
      </c>
      <c r="D54" s="9">
        <v>4</v>
      </c>
      <c r="E54" s="6">
        <v>3</v>
      </c>
      <c r="F54" s="6"/>
      <c r="G54" s="6"/>
      <c r="H54" s="6"/>
      <c r="I54" s="6">
        <f>SUM(E50+E51+E52+E53+E54)</f>
        <v>22</v>
      </c>
      <c r="J54" s="64"/>
      <c r="K54" s="15"/>
      <c r="L54" s="12"/>
      <c r="M54" s="16"/>
      <c r="N54" s="17"/>
      <c r="O54" s="18"/>
      <c r="P54" s="18"/>
      <c r="Q54" s="18"/>
      <c r="R54" s="18"/>
    </row>
    <row r="55" spans="1:18" ht="43.5" customHeight="1" x14ac:dyDescent="0.25">
      <c r="A55" s="83" t="s">
        <v>7</v>
      </c>
      <c r="B55" s="7">
        <v>1</v>
      </c>
      <c r="C55" s="8" t="s">
        <v>32</v>
      </c>
      <c r="D55" s="9">
        <v>26</v>
      </c>
      <c r="E55" s="6">
        <v>15</v>
      </c>
      <c r="F55" s="6"/>
      <c r="G55" s="6"/>
      <c r="H55" s="6"/>
      <c r="I55" s="6"/>
      <c r="J55" s="64"/>
      <c r="K55" s="15"/>
      <c r="L55" s="12"/>
      <c r="M55" s="16"/>
      <c r="N55" s="17"/>
      <c r="O55" s="18"/>
      <c r="P55" s="18"/>
      <c r="Q55" s="18"/>
      <c r="R55" s="18"/>
    </row>
    <row r="56" spans="1:18" ht="37.5" customHeight="1" x14ac:dyDescent="0.25">
      <c r="A56" s="83"/>
      <c r="B56" s="7">
        <v>2</v>
      </c>
      <c r="C56" s="8" t="s">
        <v>104</v>
      </c>
      <c r="D56" s="9">
        <v>4</v>
      </c>
      <c r="E56" s="6">
        <v>3</v>
      </c>
      <c r="F56" s="6"/>
      <c r="G56" s="6"/>
      <c r="H56" s="6"/>
      <c r="I56" s="6">
        <f>SUM(E55+E56)</f>
        <v>18</v>
      </c>
      <c r="J56" s="64"/>
      <c r="K56" s="15"/>
      <c r="L56" s="12"/>
      <c r="M56" s="16"/>
      <c r="N56" s="17"/>
      <c r="O56" s="18"/>
      <c r="P56" s="18"/>
      <c r="Q56" s="18"/>
      <c r="R56" s="18"/>
    </row>
    <row r="57" spans="1:18" ht="45" customHeight="1" x14ac:dyDescent="0.25">
      <c r="A57" s="83" t="s">
        <v>8</v>
      </c>
      <c r="B57" s="7">
        <v>1</v>
      </c>
      <c r="C57" s="8" t="s">
        <v>33</v>
      </c>
      <c r="D57" s="9">
        <v>26</v>
      </c>
      <c r="E57" s="6">
        <v>15</v>
      </c>
      <c r="F57" s="6"/>
      <c r="G57" s="6"/>
      <c r="H57" s="6"/>
      <c r="I57" s="6"/>
      <c r="J57" s="64"/>
      <c r="K57" s="15"/>
      <c r="L57" s="12"/>
      <c r="M57" s="16"/>
      <c r="N57" s="17"/>
      <c r="O57" s="18"/>
      <c r="P57" s="18"/>
      <c r="Q57" s="18"/>
      <c r="R57" s="18"/>
    </row>
    <row r="58" spans="1:18" ht="45" customHeight="1" x14ac:dyDescent="0.25">
      <c r="A58" s="83"/>
      <c r="B58" s="7">
        <v>2</v>
      </c>
      <c r="C58" s="8" t="s">
        <v>105</v>
      </c>
      <c r="D58" s="9">
        <v>4</v>
      </c>
      <c r="E58" s="6">
        <v>3</v>
      </c>
      <c r="F58" s="6"/>
      <c r="G58" s="6"/>
      <c r="H58" s="6"/>
      <c r="I58" s="6">
        <f>SUM(E57+E58)</f>
        <v>18</v>
      </c>
      <c r="J58" s="64"/>
      <c r="K58" s="15"/>
      <c r="L58" s="12"/>
      <c r="M58" s="16"/>
      <c r="N58" s="17"/>
      <c r="O58" s="18"/>
      <c r="P58" s="18"/>
      <c r="Q58" s="18"/>
      <c r="R58" s="18"/>
    </row>
    <row r="59" spans="1:18" ht="19.899999999999999" customHeight="1" x14ac:dyDescent="0.25">
      <c r="A59" s="12"/>
      <c r="B59" s="16"/>
      <c r="C59" s="17"/>
      <c r="D59" s="17"/>
      <c r="E59" s="17"/>
      <c r="F59" s="17"/>
      <c r="G59" s="17"/>
      <c r="H59" s="4"/>
      <c r="I59" s="4"/>
      <c r="J59" s="64"/>
      <c r="K59" s="15"/>
      <c r="L59" s="12"/>
      <c r="M59" s="16"/>
      <c r="N59" s="17"/>
      <c r="O59" s="18"/>
      <c r="P59" s="18"/>
      <c r="Q59" s="18"/>
      <c r="R59" s="18"/>
    </row>
    <row r="60" spans="1:18" ht="12.95" customHeight="1" x14ac:dyDescent="0.25">
      <c r="A60" s="19"/>
      <c r="B60" s="19"/>
      <c r="C60" s="19"/>
      <c r="D60" s="19"/>
      <c r="E60" s="19"/>
      <c r="F60" s="19"/>
      <c r="G60" s="19"/>
      <c r="J60" s="61"/>
      <c r="K60" s="15"/>
      <c r="L60" s="12"/>
      <c r="M60" s="16"/>
      <c r="N60" s="17"/>
      <c r="O60" s="18"/>
      <c r="P60" s="18"/>
      <c r="Q60" s="18"/>
      <c r="R60" s="18"/>
    </row>
    <row r="61" spans="1:18" x14ac:dyDescent="0.25">
      <c r="J61" s="61"/>
      <c r="K61" s="15"/>
      <c r="L61" s="12"/>
      <c r="M61" s="16"/>
      <c r="N61" s="17"/>
      <c r="O61" s="18"/>
      <c r="P61" s="18"/>
      <c r="Q61" s="18"/>
      <c r="R61" s="18"/>
    </row>
    <row r="62" spans="1:18" x14ac:dyDescent="0.25">
      <c r="A62" s="66"/>
      <c r="B62" s="66"/>
      <c r="C62" s="66"/>
      <c r="D62" s="66"/>
      <c r="E62" s="66"/>
      <c r="F62" s="66"/>
      <c r="G62" s="66"/>
      <c r="J62" s="61"/>
      <c r="K62" s="15"/>
      <c r="L62" s="12"/>
      <c r="M62" s="16"/>
      <c r="N62" s="17"/>
      <c r="O62" s="18"/>
      <c r="P62" s="18"/>
      <c r="Q62" s="18"/>
      <c r="R62" s="18"/>
    </row>
    <row r="63" spans="1:18" ht="23.25" customHeight="1" x14ac:dyDescent="0.25">
      <c r="B63" s="65"/>
      <c r="C63" s="65"/>
      <c r="D63" s="65"/>
      <c r="E63" s="65"/>
      <c r="F63" s="65"/>
      <c r="G63" s="65"/>
      <c r="J63" s="61"/>
      <c r="K63" s="15"/>
      <c r="L63" s="12"/>
      <c r="M63" s="16"/>
      <c r="N63" s="17"/>
      <c r="O63" s="18"/>
      <c r="P63" s="18"/>
      <c r="Q63" s="18"/>
      <c r="R63" s="18"/>
    </row>
    <row r="64" spans="1:18" ht="13.5" customHeight="1" x14ac:dyDescent="0.25">
      <c r="A64" s="1"/>
      <c r="J64" s="61"/>
      <c r="K64" s="15"/>
      <c r="L64" s="12"/>
      <c r="M64" s="16"/>
      <c r="N64" s="17"/>
      <c r="O64" s="18"/>
      <c r="P64" s="18"/>
      <c r="Q64" s="18"/>
      <c r="R64" s="18"/>
    </row>
    <row r="65" spans="1:18" x14ac:dyDescent="0.25">
      <c r="A65" s="10"/>
      <c r="J65" s="61"/>
      <c r="K65" s="15"/>
      <c r="L65" s="12"/>
      <c r="M65" s="16"/>
      <c r="N65" s="17"/>
      <c r="O65" s="18"/>
      <c r="P65" s="18"/>
      <c r="Q65" s="18"/>
      <c r="R65" s="18"/>
    </row>
    <row r="66" spans="1:18" ht="15" customHeight="1" x14ac:dyDescent="0.25">
      <c r="J66" s="61"/>
      <c r="K66" s="15"/>
      <c r="L66" s="12"/>
      <c r="M66" s="16"/>
      <c r="N66" s="17"/>
      <c r="O66" s="18"/>
      <c r="P66" s="18"/>
      <c r="Q66" s="18"/>
      <c r="R66" s="18"/>
    </row>
    <row r="67" spans="1:18" x14ac:dyDescent="0.25">
      <c r="J67" s="61"/>
      <c r="K67" s="15"/>
      <c r="L67" s="12"/>
      <c r="M67" s="16"/>
      <c r="N67" s="17"/>
      <c r="O67" s="18"/>
      <c r="P67" s="18"/>
      <c r="Q67" s="18"/>
      <c r="R67" s="18"/>
    </row>
    <row r="68" spans="1:18" x14ac:dyDescent="0.25">
      <c r="J68" s="61"/>
      <c r="K68" s="15"/>
      <c r="L68" s="12"/>
      <c r="M68" s="16"/>
      <c r="N68" s="17"/>
      <c r="O68" s="18"/>
      <c r="P68" s="18"/>
      <c r="Q68" s="18"/>
      <c r="R68" s="18"/>
    </row>
    <row r="69" spans="1:18" x14ac:dyDescent="0.25">
      <c r="J69" s="61"/>
      <c r="K69" s="15"/>
      <c r="L69" s="12"/>
      <c r="M69" s="16"/>
      <c r="N69" s="17"/>
      <c r="O69" s="18"/>
      <c r="P69" s="18"/>
      <c r="Q69" s="18"/>
      <c r="R69" s="18"/>
    </row>
    <row r="70" spans="1:18" x14ac:dyDescent="0.25">
      <c r="J70" s="61"/>
      <c r="K70" s="15"/>
      <c r="L70" s="12"/>
      <c r="M70" s="16"/>
      <c r="N70" s="17"/>
      <c r="O70" s="18"/>
      <c r="P70" s="18"/>
      <c r="Q70" s="18"/>
      <c r="R70" s="18"/>
    </row>
    <row r="71" spans="1:18" ht="15" customHeight="1" x14ac:dyDescent="0.25">
      <c r="J71" s="62"/>
      <c r="K71" s="15"/>
      <c r="L71" s="12"/>
      <c r="M71" s="16"/>
      <c r="N71" s="17"/>
      <c r="O71" s="18"/>
      <c r="P71" s="18"/>
      <c r="Q71" s="18"/>
      <c r="R71" s="18"/>
    </row>
    <row r="72" spans="1:18" x14ac:dyDescent="0.25">
      <c r="J72" s="62"/>
      <c r="K72" s="15"/>
      <c r="L72" s="12"/>
      <c r="M72" s="16"/>
      <c r="N72" s="17"/>
      <c r="O72" s="18"/>
      <c r="P72" s="18"/>
      <c r="Q72" s="18"/>
      <c r="R72" s="18"/>
    </row>
    <row r="73" spans="1:18" ht="15" customHeight="1" x14ac:dyDescent="0.25">
      <c r="J73" s="62"/>
      <c r="K73" s="15"/>
      <c r="L73" s="12"/>
      <c r="M73" s="16"/>
      <c r="N73" s="17"/>
      <c r="O73" s="18"/>
      <c r="P73" s="18"/>
      <c r="Q73" s="18"/>
      <c r="R73" s="18"/>
    </row>
    <row r="74" spans="1:18" x14ac:dyDescent="0.25">
      <c r="J74" s="62"/>
      <c r="K74" s="15"/>
      <c r="L74" s="12"/>
      <c r="M74" s="16"/>
      <c r="N74" s="17"/>
      <c r="O74" s="18"/>
      <c r="P74" s="18"/>
      <c r="Q74" s="18"/>
      <c r="R74" s="18"/>
    </row>
    <row r="75" spans="1:18" x14ac:dyDescent="0.25">
      <c r="J75" s="19"/>
      <c r="K75" s="19"/>
      <c r="L75" s="19"/>
      <c r="M75" s="19"/>
      <c r="N75" s="19"/>
      <c r="O75" s="19"/>
      <c r="P75" s="19"/>
      <c r="Q75" s="19"/>
      <c r="R75" s="19"/>
    </row>
  </sheetData>
  <mergeCells count="22">
    <mergeCell ref="J60:J65"/>
    <mergeCell ref="J20:J25"/>
    <mergeCell ref="J26:J31"/>
    <mergeCell ref="J32:J38"/>
    <mergeCell ref="B63:G63"/>
    <mergeCell ref="A62:G62"/>
    <mergeCell ref="J66:J70"/>
    <mergeCell ref="J71:J72"/>
    <mergeCell ref="J73:J7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  <mergeCell ref="J39:J45"/>
    <mergeCell ref="J46:J52"/>
    <mergeCell ref="J53:J59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85"/>
  <sheetViews>
    <sheetView zoomScaleNormal="100" zoomScaleSheetLayoutView="80" workbookViewId="0">
      <selection activeCell="A60" sqref="A60:I60"/>
    </sheetView>
  </sheetViews>
  <sheetFormatPr baseColWidth="10" defaultRowHeight="15" x14ac:dyDescent="0.25"/>
  <cols>
    <col min="1" max="1" width="5.42578125" customWidth="1"/>
    <col min="2" max="2" width="3.42578125" customWidth="1"/>
    <col min="3" max="3" width="56.85546875" customWidth="1"/>
    <col min="4" max="4" width="6.140625" customWidth="1"/>
    <col min="5" max="6" width="5.42578125" customWidth="1"/>
    <col min="7" max="7" width="6.5703125" customWidth="1"/>
    <col min="8" max="8" width="13" customWidth="1"/>
    <col min="9" max="9" width="7" customWidth="1"/>
  </cols>
  <sheetData>
    <row r="1" spans="1:10" ht="42.6" customHeight="1" x14ac:dyDescent="0.25">
      <c r="C1" s="57" t="s">
        <v>168</v>
      </c>
    </row>
    <row r="2" spans="1:10" ht="27" customHeight="1" x14ac:dyDescent="0.25">
      <c r="A2" s="28" t="s">
        <v>108</v>
      </c>
      <c r="B2" s="28" t="s">
        <v>109</v>
      </c>
      <c r="C2" s="28" t="s">
        <v>0</v>
      </c>
      <c r="D2" s="28" t="s">
        <v>10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</row>
    <row r="3" spans="1:10" ht="19.149999999999999" customHeight="1" x14ac:dyDescent="0.25">
      <c r="A3" s="71" t="s">
        <v>56</v>
      </c>
      <c r="B3" s="36">
        <v>1</v>
      </c>
      <c r="C3" s="37" t="s">
        <v>57</v>
      </c>
      <c r="D3" s="38">
        <v>4</v>
      </c>
      <c r="E3" s="39">
        <v>3</v>
      </c>
      <c r="F3" s="39"/>
      <c r="G3" s="39"/>
      <c r="H3" s="39"/>
      <c r="I3" s="39"/>
      <c r="J3" s="4"/>
    </row>
    <row r="4" spans="1:10" ht="19.149999999999999" customHeight="1" x14ac:dyDescent="0.25">
      <c r="A4" s="68"/>
      <c r="B4" s="34">
        <v>2</v>
      </c>
      <c r="C4" s="30" t="s">
        <v>18</v>
      </c>
      <c r="D4" s="40">
        <v>4</v>
      </c>
      <c r="E4" s="32">
        <v>3</v>
      </c>
      <c r="F4" s="32"/>
      <c r="G4" s="32"/>
      <c r="H4" s="32"/>
      <c r="I4" s="32"/>
      <c r="J4" s="4"/>
    </row>
    <row r="5" spans="1:10" ht="19.149999999999999" customHeight="1" x14ac:dyDescent="0.25">
      <c r="A5" s="68"/>
      <c r="B5" s="34">
        <v>3</v>
      </c>
      <c r="C5" s="30" t="s">
        <v>22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68"/>
      <c r="B6" s="34">
        <v>4</v>
      </c>
      <c r="C6" s="30" t="s">
        <v>20</v>
      </c>
      <c r="D6" s="40">
        <v>6</v>
      </c>
      <c r="E6" s="32">
        <v>5</v>
      </c>
      <c r="F6" s="32"/>
      <c r="G6" s="32"/>
      <c r="H6" s="32"/>
      <c r="I6" s="32"/>
      <c r="J6" s="4"/>
    </row>
    <row r="7" spans="1:10" ht="19.149999999999999" customHeight="1" x14ac:dyDescent="0.25">
      <c r="A7" s="68"/>
      <c r="B7" s="34">
        <v>5</v>
      </c>
      <c r="C7" s="30" t="s">
        <v>88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thickBot="1" x14ac:dyDescent="0.3">
      <c r="A8" s="69"/>
      <c r="B8" s="34">
        <v>6</v>
      </c>
      <c r="C8" s="41" t="s">
        <v>61</v>
      </c>
      <c r="D8" s="42">
        <v>6</v>
      </c>
      <c r="E8" s="43">
        <v>5</v>
      </c>
      <c r="F8" s="43"/>
      <c r="G8" s="43"/>
      <c r="H8" s="43"/>
      <c r="I8" s="43">
        <f>SUM(E3+E4+E5+E6+E7+E8)</f>
        <v>24</v>
      </c>
      <c r="J8" s="4"/>
    </row>
    <row r="9" spans="1:10" ht="19.149999999999999" customHeight="1" x14ac:dyDescent="0.25">
      <c r="A9" s="70" t="s">
        <v>166</v>
      </c>
      <c r="B9" s="44">
        <v>1</v>
      </c>
      <c r="C9" s="45" t="s">
        <v>19</v>
      </c>
      <c r="D9" s="38">
        <v>4</v>
      </c>
      <c r="E9" s="39">
        <v>3</v>
      </c>
      <c r="F9" s="39"/>
      <c r="G9" s="39"/>
      <c r="H9" s="39"/>
      <c r="I9" s="39"/>
      <c r="J9" s="4"/>
    </row>
    <row r="10" spans="1:10" ht="19.149999999999999" customHeight="1" x14ac:dyDescent="0.25">
      <c r="A10" s="71"/>
      <c r="B10" s="36">
        <v>2</v>
      </c>
      <c r="C10" s="45" t="s">
        <v>12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68"/>
      <c r="B11" s="34">
        <v>3</v>
      </c>
      <c r="C11" s="30" t="s">
        <v>14</v>
      </c>
      <c r="D11" s="38">
        <v>4</v>
      </c>
      <c r="E11" s="39">
        <v>3</v>
      </c>
      <c r="F11" s="32"/>
      <c r="G11" s="32"/>
      <c r="H11" s="32"/>
      <c r="I11" s="32"/>
      <c r="J11" s="4"/>
    </row>
    <row r="12" spans="1:10" ht="19.149999999999999" customHeight="1" x14ac:dyDescent="0.25">
      <c r="A12" s="68"/>
      <c r="B12" s="34">
        <v>4</v>
      </c>
      <c r="C12" s="30" t="s">
        <v>25</v>
      </c>
      <c r="D12" s="40">
        <v>6</v>
      </c>
      <c r="E12" s="32">
        <v>5</v>
      </c>
      <c r="F12" s="32"/>
      <c r="G12" s="32"/>
      <c r="H12" s="32"/>
      <c r="I12" s="32"/>
      <c r="J12" s="4"/>
    </row>
    <row r="13" spans="1:10" ht="19.149999999999999" customHeight="1" x14ac:dyDescent="0.25">
      <c r="A13" s="68"/>
      <c r="B13" s="34">
        <v>5</v>
      </c>
      <c r="C13" s="30" t="s">
        <v>62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thickBot="1" x14ac:dyDescent="0.3">
      <c r="A14" s="68"/>
      <c r="B14" s="46">
        <v>6</v>
      </c>
      <c r="C14" s="41" t="s">
        <v>65</v>
      </c>
      <c r="D14" s="42">
        <v>6</v>
      </c>
      <c r="E14" s="43">
        <v>5</v>
      </c>
      <c r="F14" s="43"/>
      <c r="G14" s="43"/>
      <c r="H14" s="43"/>
      <c r="I14" s="43">
        <f>E9+E10+E11+E12+E13+E14</f>
        <v>24</v>
      </c>
      <c r="J14" s="4"/>
    </row>
    <row r="15" spans="1:10" ht="19.149999999999999" customHeight="1" x14ac:dyDescent="0.25">
      <c r="A15" s="70" t="s">
        <v>167</v>
      </c>
      <c r="B15" s="36">
        <v>1</v>
      </c>
      <c r="C15" s="30" t="s">
        <v>13</v>
      </c>
      <c r="D15" s="38">
        <v>4</v>
      </c>
      <c r="E15" s="39">
        <v>3</v>
      </c>
      <c r="F15" s="39"/>
      <c r="G15" s="39"/>
      <c r="H15" s="39"/>
      <c r="I15" s="39"/>
      <c r="J15" s="4"/>
    </row>
    <row r="16" spans="1:10" ht="19.149999999999999" customHeight="1" x14ac:dyDescent="0.25">
      <c r="A16" s="71"/>
      <c r="B16" s="36">
        <v>2</v>
      </c>
      <c r="C16" s="30" t="s">
        <v>154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68"/>
      <c r="B17" s="34">
        <v>3</v>
      </c>
      <c r="C17" s="30" t="s">
        <v>26</v>
      </c>
      <c r="D17" s="40">
        <v>6</v>
      </c>
      <c r="E17" s="32">
        <v>5</v>
      </c>
      <c r="F17" s="32"/>
      <c r="G17" s="32"/>
      <c r="H17" s="32"/>
      <c r="I17" s="32"/>
      <c r="J17" s="4"/>
    </row>
    <row r="18" spans="1:11" ht="19.149999999999999" customHeight="1" x14ac:dyDescent="0.25">
      <c r="A18" s="68"/>
      <c r="B18" s="34">
        <v>4</v>
      </c>
      <c r="C18" s="30" t="s">
        <v>66</v>
      </c>
      <c r="D18" s="40">
        <v>4</v>
      </c>
      <c r="E18" s="32">
        <v>3</v>
      </c>
      <c r="F18" s="32"/>
      <c r="G18" s="32"/>
      <c r="H18" s="32"/>
      <c r="I18" s="32"/>
      <c r="J18" s="4"/>
    </row>
    <row r="19" spans="1:11" ht="19.149999999999999" customHeight="1" x14ac:dyDescent="0.25">
      <c r="A19" s="68"/>
      <c r="B19" s="34">
        <v>5</v>
      </c>
      <c r="C19" s="30" t="s">
        <v>67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68"/>
      <c r="B20" s="34">
        <v>6</v>
      </c>
      <c r="C20" s="30" t="s">
        <v>68</v>
      </c>
      <c r="D20" s="40">
        <v>4</v>
      </c>
      <c r="E20" s="32">
        <v>3</v>
      </c>
      <c r="F20" s="32"/>
      <c r="G20" s="48"/>
      <c r="H20" s="48"/>
      <c r="I20" s="48"/>
      <c r="J20" s="4"/>
    </row>
    <row r="21" spans="1:11" ht="19.149999999999999" customHeight="1" thickBot="1" x14ac:dyDescent="0.3">
      <c r="A21" s="69"/>
      <c r="B21" s="46">
        <v>7</v>
      </c>
      <c r="C21" s="41" t="s">
        <v>156</v>
      </c>
      <c r="D21" s="49">
        <v>4</v>
      </c>
      <c r="E21" s="50">
        <v>3</v>
      </c>
      <c r="F21" s="50"/>
      <c r="G21" s="43"/>
      <c r="H21" s="43"/>
      <c r="I21" s="43">
        <f>E16+E15+E17+E18+E19+E20+E21</f>
        <v>23</v>
      </c>
      <c r="J21" s="4"/>
    </row>
    <row r="22" spans="1:11" ht="19.149999999999999" customHeight="1" x14ac:dyDescent="0.25">
      <c r="A22" s="70" t="s">
        <v>53</v>
      </c>
      <c r="B22" s="44">
        <v>1</v>
      </c>
      <c r="C22" s="30" t="s">
        <v>153</v>
      </c>
      <c r="D22" s="38">
        <v>4</v>
      </c>
      <c r="E22" s="39">
        <v>3</v>
      </c>
      <c r="F22" s="39"/>
      <c r="G22" s="39"/>
      <c r="H22" s="39"/>
      <c r="I22" s="39"/>
      <c r="J22" s="4"/>
    </row>
    <row r="23" spans="1:11" ht="19.149999999999999" customHeight="1" x14ac:dyDescent="0.25">
      <c r="A23" s="71"/>
      <c r="B23" s="36">
        <v>2</v>
      </c>
      <c r="C23" s="45" t="s">
        <v>23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68"/>
      <c r="B24" s="34">
        <v>3</v>
      </c>
      <c r="C24" s="30" t="s">
        <v>27</v>
      </c>
      <c r="D24" s="40">
        <v>6</v>
      </c>
      <c r="E24" s="32">
        <v>5</v>
      </c>
      <c r="F24" s="32"/>
      <c r="G24" s="32"/>
      <c r="H24" s="32"/>
      <c r="I24" s="32"/>
      <c r="J24" s="4"/>
      <c r="K24" s="2"/>
    </row>
    <row r="25" spans="1:11" ht="19.149999999999999" customHeight="1" x14ac:dyDescent="0.25">
      <c r="A25" s="68"/>
      <c r="B25" s="34">
        <v>4</v>
      </c>
      <c r="C25" s="30" t="s">
        <v>63</v>
      </c>
      <c r="D25" s="40">
        <v>4</v>
      </c>
      <c r="E25" s="32">
        <v>3</v>
      </c>
      <c r="F25" s="32"/>
      <c r="G25" s="32"/>
      <c r="H25" s="32"/>
      <c r="I25" s="32"/>
      <c r="J25" s="4"/>
      <c r="K25" s="3"/>
    </row>
    <row r="26" spans="1:11" ht="19.149999999999999" customHeight="1" x14ac:dyDescent="0.25">
      <c r="A26" s="68"/>
      <c r="B26" s="34">
        <v>5</v>
      </c>
      <c r="C26" s="37" t="s">
        <v>147</v>
      </c>
      <c r="D26" s="31">
        <v>4</v>
      </c>
      <c r="E26" s="32">
        <v>3</v>
      </c>
      <c r="F26" s="32"/>
      <c r="G26" s="32"/>
      <c r="H26" s="32"/>
      <c r="I26" s="32"/>
      <c r="J26" s="4"/>
      <c r="K26" s="3"/>
    </row>
    <row r="27" spans="1:11" ht="19.149999999999999" customHeight="1" x14ac:dyDescent="0.25">
      <c r="A27" s="68"/>
      <c r="B27" s="34">
        <v>6</v>
      </c>
      <c r="C27" s="30" t="s">
        <v>69</v>
      </c>
      <c r="D27" s="38">
        <v>4</v>
      </c>
      <c r="E27" s="39">
        <v>3</v>
      </c>
      <c r="F27" s="32"/>
      <c r="G27" s="32"/>
      <c r="H27" s="32"/>
      <c r="I27" s="32"/>
      <c r="J27" s="4"/>
    </row>
    <row r="28" spans="1:11" ht="19.149999999999999" customHeight="1" thickBot="1" x14ac:dyDescent="0.3">
      <c r="A28" s="68"/>
      <c r="B28" s="34">
        <v>7</v>
      </c>
      <c r="C28" s="30" t="s">
        <v>155</v>
      </c>
      <c r="D28" s="40">
        <v>4</v>
      </c>
      <c r="E28" s="32">
        <v>3</v>
      </c>
      <c r="F28" s="32"/>
      <c r="G28" s="32"/>
      <c r="H28" s="32"/>
      <c r="I28" s="43">
        <f>E22+E23+E24+E25+E26+E27+E28</f>
        <v>23</v>
      </c>
      <c r="J28" s="4"/>
    </row>
    <row r="29" spans="1:11" ht="19.149999999999999" customHeight="1" x14ac:dyDescent="0.25">
      <c r="A29" s="70" t="s">
        <v>161</v>
      </c>
      <c r="B29" s="44">
        <v>1</v>
      </c>
      <c r="C29" s="51" t="s">
        <v>15</v>
      </c>
      <c r="D29" s="52">
        <v>4</v>
      </c>
      <c r="E29" s="53">
        <v>3</v>
      </c>
      <c r="F29" s="53"/>
      <c r="G29" s="53"/>
      <c r="H29" s="53"/>
      <c r="I29" s="53"/>
      <c r="J29" s="4"/>
    </row>
    <row r="30" spans="1:11" ht="19.149999999999999" customHeight="1" x14ac:dyDescent="0.25">
      <c r="A30" s="68"/>
      <c r="B30" s="34">
        <v>2</v>
      </c>
      <c r="C30" s="30" t="s">
        <v>28</v>
      </c>
      <c r="D30" s="40">
        <v>6</v>
      </c>
      <c r="E30" s="32">
        <v>5</v>
      </c>
      <c r="F30" s="32"/>
      <c r="G30" s="32"/>
      <c r="H30" s="32"/>
      <c r="I30" s="32"/>
      <c r="J30" s="4"/>
    </row>
    <row r="31" spans="1:11" ht="19.149999999999999" customHeight="1" x14ac:dyDescent="0.25">
      <c r="A31" s="68"/>
      <c r="B31" s="34">
        <v>3</v>
      </c>
      <c r="C31" s="30" t="s">
        <v>148</v>
      </c>
      <c r="D31" s="40">
        <v>4</v>
      </c>
      <c r="E31" s="32">
        <v>3</v>
      </c>
      <c r="F31" s="32"/>
      <c r="G31" s="32"/>
      <c r="H31" s="32"/>
      <c r="I31" s="32"/>
      <c r="J31" s="4"/>
    </row>
    <row r="32" spans="1:11" ht="19.149999999999999" customHeight="1" x14ac:dyDescent="0.25">
      <c r="A32" s="68"/>
      <c r="B32" s="34">
        <v>4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11" ht="19.149999999999999" customHeight="1" x14ac:dyDescent="0.25">
      <c r="A33" s="68"/>
      <c r="B33" s="34">
        <v>5</v>
      </c>
      <c r="C33" s="30" t="s">
        <v>71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11" ht="19.149999999999999" customHeight="1" x14ac:dyDescent="0.25">
      <c r="A34" s="68"/>
      <c r="B34" s="34">
        <v>6</v>
      </c>
      <c r="C34" s="30" t="s">
        <v>72</v>
      </c>
      <c r="D34" s="40">
        <v>4</v>
      </c>
      <c r="E34" s="32">
        <v>3</v>
      </c>
      <c r="F34" s="48"/>
      <c r="G34" s="48"/>
      <c r="H34" s="48"/>
      <c r="I34" s="48"/>
      <c r="J34" s="4"/>
    </row>
    <row r="35" spans="1:11" ht="19.149999999999999" customHeight="1" thickBot="1" x14ac:dyDescent="0.3">
      <c r="A35" s="69"/>
      <c r="B35" s="46">
        <v>7</v>
      </c>
      <c r="C35" s="41" t="s">
        <v>89</v>
      </c>
      <c r="D35" s="49">
        <v>4</v>
      </c>
      <c r="E35" s="50">
        <v>3</v>
      </c>
      <c r="F35" s="43"/>
      <c r="G35" s="43"/>
      <c r="H35" s="43"/>
      <c r="I35" s="43">
        <f>SUM(E29+E30+E32+E31+E33+E34+E35)</f>
        <v>23</v>
      </c>
      <c r="J35" s="4"/>
    </row>
    <row r="36" spans="1:11" ht="19.149999999999999" customHeight="1" x14ac:dyDescent="0.25">
      <c r="A36" s="68" t="s">
        <v>160</v>
      </c>
      <c r="B36" s="34">
        <v>1</v>
      </c>
      <c r="C36" s="30" t="s">
        <v>59</v>
      </c>
      <c r="D36" s="40">
        <v>4</v>
      </c>
      <c r="E36" s="32">
        <v>3</v>
      </c>
      <c r="F36" s="32"/>
      <c r="G36" s="32"/>
      <c r="H36" s="32"/>
      <c r="I36" s="32"/>
      <c r="J36" s="4"/>
      <c r="K36" s="3"/>
    </row>
    <row r="37" spans="1:11" ht="19.149999999999999" customHeight="1" x14ac:dyDescent="0.25">
      <c r="A37" s="68"/>
      <c r="B37" s="34">
        <v>2</v>
      </c>
      <c r="C37" s="30" t="s">
        <v>29</v>
      </c>
      <c r="D37" s="40">
        <v>6</v>
      </c>
      <c r="E37" s="32">
        <v>5</v>
      </c>
      <c r="F37" s="32"/>
      <c r="G37" s="32"/>
      <c r="H37" s="32"/>
      <c r="I37" s="32"/>
      <c r="J37" s="4"/>
      <c r="K37" s="3"/>
    </row>
    <row r="38" spans="1:11" ht="19.149999999999999" customHeight="1" x14ac:dyDescent="0.25">
      <c r="A38" s="68"/>
      <c r="B38" s="34">
        <v>3</v>
      </c>
      <c r="C38" s="30" t="s">
        <v>64</v>
      </c>
      <c r="D38" s="40">
        <v>4</v>
      </c>
      <c r="E38" s="32">
        <v>3</v>
      </c>
      <c r="F38" s="32"/>
      <c r="G38" s="32"/>
      <c r="H38" s="32"/>
      <c r="I38" s="32"/>
      <c r="J38" s="4"/>
      <c r="K38" s="3"/>
    </row>
    <row r="39" spans="1:11" ht="19.149999999999999" customHeight="1" x14ac:dyDescent="0.25">
      <c r="A39" s="68"/>
      <c r="B39" s="34">
        <v>4</v>
      </c>
      <c r="C39" s="30" t="s">
        <v>149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</row>
    <row r="40" spans="1:11" ht="19.149999999999999" customHeight="1" x14ac:dyDescent="0.25">
      <c r="A40" s="68"/>
      <c r="B40" s="34">
        <v>5</v>
      </c>
      <c r="C40" s="30" t="s">
        <v>73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</row>
    <row r="41" spans="1:11" ht="19.149999999999999" customHeight="1" x14ac:dyDescent="0.25">
      <c r="A41" s="68"/>
      <c r="B41" s="34">
        <v>6</v>
      </c>
      <c r="C41" s="30" t="s">
        <v>74</v>
      </c>
      <c r="D41" s="40">
        <v>4</v>
      </c>
      <c r="E41" s="32">
        <v>3</v>
      </c>
      <c r="F41" s="48"/>
      <c r="G41" s="48"/>
      <c r="H41" s="48"/>
      <c r="I41" s="48"/>
      <c r="J41" s="4"/>
      <c r="K41" s="3"/>
    </row>
    <row r="42" spans="1:11" ht="19.149999999999999" customHeight="1" thickBot="1" x14ac:dyDescent="0.3">
      <c r="A42" s="69"/>
      <c r="B42" s="46">
        <v>7</v>
      </c>
      <c r="C42" s="41" t="s">
        <v>83</v>
      </c>
      <c r="D42" s="49">
        <v>4</v>
      </c>
      <c r="E42" s="50">
        <v>3</v>
      </c>
      <c r="F42" s="43"/>
      <c r="G42" s="43"/>
      <c r="H42" s="43"/>
      <c r="I42" s="43">
        <f>SUM(E36+E37+E38+E39+E40+E41+E42)</f>
        <v>23</v>
      </c>
      <c r="J42" s="4"/>
      <c r="K42" s="3"/>
    </row>
    <row r="43" spans="1:11" ht="19.149999999999999" customHeight="1" x14ac:dyDescent="0.25">
      <c r="A43" s="70" t="s">
        <v>54</v>
      </c>
      <c r="B43" s="44">
        <v>1</v>
      </c>
      <c r="C43" s="51" t="s">
        <v>58</v>
      </c>
      <c r="D43" s="38">
        <v>4</v>
      </c>
      <c r="E43" s="39">
        <v>3</v>
      </c>
      <c r="F43" s="39"/>
      <c r="G43" s="39"/>
      <c r="H43" s="39"/>
      <c r="I43" s="39"/>
      <c r="J43" s="4"/>
      <c r="K43" s="3"/>
    </row>
    <row r="44" spans="1:11" ht="19.149999999999999" customHeight="1" x14ac:dyDescent="0.25">
      <c r="A44" s="68"/>
      <c r="B44" s="34">
        <v>2</v>
      </c>
      <c r="C44" s="30" t="s">
        <v>30</v>
      </c>
      <c r="D44" s="40">
        <v>10</v>
      </c>
      <c r="E44" s="32">
        <v>7</v>
      </c>
      <c r="F44" s="32"/>
      <c r="G44" s="32"/>
      <c r="H44" s="32"/>
      <c r="I44" s="32"/>
      <c r="J44" s="4"/>
      <c r="K44" s="3"/>
    </row>
    <row r="45" spans="1:11" ht="19.149999999999999" customHeight="1" x14ac:dyDescent="0.25">
      <c r="A45" s="68"/>
      <c r="B45" s="34">
        <v>3</v>
      </c>
      <c r="C45" s="30" t="s">
        <v>75</v>
      </c>
      <c r="D45" s="40">
        <v>4</v>
      </c>
      <c r="E45" s="32">
        <v>3</v>
      </c>
      <c r="F45" s="32"/>
      <c r="G45" s="32"/>
      <c r="H45" s="32"/>
      <c r="I45" s="32"/>
      <c r="J45" s="4"/>
      <c r="K45" s="3"/>
    </row>
    <row r="46" spans="1:11" ht="19.149999999999999" customHeight="1" x14ac:dyDescent="0.25">
      <c r="A46" s="68"/>
      <c r="B46" s="34">
        <v>4</v>
      </c>
      <c r="C46" s="30" t="s">
        <v>110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</row>
    <row r="47" spans="1:11" ht="19.149999999999999" customHeight="1" x14ac:dyDescent="0.25">
      <c r="A47" s="68"/>
      <c r="B47" s="34">
        <v>5</v>
      </c>
      <c r="C47" s="30" t="s">
        <v>76</v>
      </c>
      <c r="D47" s="40">
        <v>4</v>
      </c>
      <c r="E47" s="32">
        <v>3</v>
      </c>
      <c r="F47" s="48"/>
      <c r="G47" s="48"/>
      <c r="H47" s="48"/>
      <c r="I47" s="48"/>
      <c r="J47" s="4"/>
      <c r="K47" s="3"/>
    </row>
    <row r="48" spans="1:11" ht="19.149999999999999" customHeight="1" thickBot="1" x14ac:dyDescent="0.3">
      <c r="A48" s="69"/>
      <c r="B48" s="46">
        <v>6</v>
      </c>
      <c r="C48" s="41" t="s">
        <v>79</v>
      </c>
      <c r="D48" s="49">
        <v>4</v>
      </c>
      <c r="E48" s="50">
        <v>3</v>
      </c>
      <c r="F48" s="43"/>
      <c r="G48" s="43"/>
      <c r="H48" s="43"/>
      <c r="I48" s="43">
        <f>SUM(E43+E44+E45+E46+E47+E48)</f>
        <v>22</v>
      </c>
      <c r="J48" s="4"/>
      <c r="K48" s="3"/>
    </row>
    <row r="49" spans="1:11" ht="19.149999999999999" customHeight="1" x14ac:dyDescent="0.25">
      <c r="A49" s="84" t="s">
        <v>55</v>
      </c>
      <c r="B49" s="44">
        <v>1</v>
      </c>
      <c r="C49" s="37" t="s">
        <v>31</v>
      </c>
      <c r="D49" s="52">
        <v>12</v>
      </c>
      <c r="E49" s="53">
        <v>8</v>
      </c>
      <c r="F49" s="53"/>
      <c r="G49" s="53"/>
      <c r="H49" s="53"/>
      <c r="I49" s="53"/>
      <c r="J49" s="4"/>
      <c r="K49" s="3"/>
    </row>
    <row r="50" spans="1:11" ht="19.149999999999999" customHeight="1" x14ac:dyDescent="0.25">
      <c r="A50" s="85"/>
      <c r="B50" s="34">
        <v>2</v>
      </c>
      <c r="C50" s="30" t="s">
        <v>77</v>
      </c>
      <c r="D50" s="40">
        <v>4</v>
      </c>
      <c r="E50" s="32">
        <v>3</v>
      </c>
      <c r="F50" s="32"/>
      <c r="G50" s="32"/>
      <c r="H50" s="32"/>
      <c r="I50" s="32"/>
      <c r="J50" s="4"/>
      <c r="K50" s="3"/>
    </row>
    <row r="51" spans="1:11" ht="19.149999999999999" customHeight="1" x14ac:dyDescent="0.25">
      <c r="A51" s="85"/>
      <c r="B51" s="34">
        <v>3</v>
      </c>
      <c r="C51" s="30" t="s">
        <v>157</v>
      </c>
      <c r="D51" s="40">
        <v>4</v>
      </c>
      <c r="E51" s="32">
        <v>3</v>
      </c>
      <c r="F51" s="32"/>
      <c r="G51" s="32"/>
      <c r="H51" s="32"/>
      <c r="I51" s="32"/>
      <c r="J51" s="4"/>
      <c r="K51" s="3"/>
    </row>
    <row r="52" spans="1:11" ht="19.149999999999999" customHeight="1" x14ac:dyDescent="0.25">
      <c r="A52" s="85"/>
      <c r="B52" s="34">
        <v>4</v>
      </c>
      <c r="C52" s="30" t="s">
        <v>78</v>
      </c>
      <c r="D52" s="31">
        <v>6</v>
      </c>
      <c r="E52" s="32">
        <v>5</v>
      </c>
      <c r="F52" s="48"/>
      <c r="G52" s="48"/>
      <c r="H52" s="48"/>
      <c r="I52" s="48"/>
      <c r="J52" s="4"/>
    </row>
    <row r="53" spans="1:11" ht="19.149999999999999" customHeight="1" thickBot="1" x14ac:dyDescent="0.3">
      <c r="A53" s="86"/>
      <c r="B53" s="46">
        <v>5</v>
      </c>
      <c r="C53" s="37" t="s">
        <v>80</v>
      </c>
      <c r="D53" s="49">
        <v>4</v>
      </c>
      <c r="E53" s="50">
        <v>3</v>
      </c>
      <c r="F53" s="43"/>
      <c r="G53" s="43"/>
      <c r="H53" s="43"/>
      <c r="I53" s="43">
        <f>SUM(E49+E50+E51+E52+E53)</f>
        <v>22</v>
      </c>
      <c r="J53" s="4"/>
      <c r="K53" s="3"/>
    </row>
    <row r="54" spans="1:11" ht="29.25" customHeight="1" x14ac:dyDescent="0.25">
      <c r="A54" s="87" t="s">
        <v>7</v>
      </c>
      <c r="B54" s="36">
        <v>1</v>
      </c>
      <c r="C54" s="51" t="s">
        <v>32</v>
      </c>
      <c r="D54" s="52">
        <v>26</v>
      </c>
      <c r="E54" s="53">
        <v>15</v>
      </c>
      <c r="F54" s="53"/>
      <c r="G54" s="53"/>
      <c r="H54" s="39"/>
      <c r="I54" s="39"/>
      <c r="J54" s="4"/>
      <c r="K54" s="3"/>
    </row>
    <row r="55" spans="1:11" ht="37.5" customHeight="1" thickBot="1" x14ac:dyDescent="0.3">
      <c r="A55" s="86"/>
      <c r="B55" s="46">
        <v>2</v>
      </c>
      <c r="C55" s="41" t="s">
        <v>150</v>
      </c>
      <c r="D55" s="42">
        <v>4</v>
      </c>
      <c r="E55" s="43">
        <v>3</v>
      </c>
      <c r="F55" s="43"/>
      <c r="G55" s="43"/>
      <c r="H55" s="43"/>
      <c r="I55" s="43">
        <f>SUM(E54+E55)</f>
        <v>18</v>
      </c>
      <c r="J55" s="4"/>
      <c r="K55" s="3"/>
    </row>
    <row r="56" spans="1:11" ht="26.25" customHeight="1" x14ac:dyDescent="0.25">
      <c r="A56" s="84" t="s">
        <v>8</v>
      </c>
      <c r="B56" s="44">
        <v>1</v>
      </c>
      <c r="C56" s="51" t="s">
        <v>33</v>
      </c>
      <c r="D56" s="52">
        <v>26</v>
      </c>
      <c r="E56" s="53">
        <v>15</v>
      </c>
      <c r="F56" s="53"/>
      <c r="G56" s="53"/>
      <c r="H56" s="53"/>
      <c r="I56" s="53"/>
      <c r="J56" s="4"/>
      <c r="K56" s="3"/>
    </row>
    <row r="57" spans="1:11" ht="37.5" customHeight="1" x14ac:dyDescent="0.25">
      <c r="A57" s="85"/>
      <c r="B57" s="34">
        <v>2</v>
      </c>
      <c r="C57" s="30" t="s">
        <v>81</v>
      </c>
      <c r="D57" s="40">
        <v>4</v>
      </c>
      <c r="E57" s="32">
        <v>3</v>
      </c>
      <c r="F57" s="32"/>
      <c r="G57" s="32"/>
      <c r="H57" s="32"/>
      <c r="I57" s="32">
        <f>SUM(E56+E57)</f>
        <v>18</v>
      </c>
      <c r="J57" s="4"/>
      <c r="K57" s="3"/>
    </row>
    <row r="58" spans="1:11" ht="12.95" customHeight="1" x14ac:dyDescent="0.25"/>
    <row r="60" spans="1:11" x14ac:dyDescent="0.25">
      <c r="A60" s="66"/>
      <c r="B60" s="66"/>
      <c r="C60" s="66"/>
      <c r="D60" s="66"/>
      <c r="E60" s="66"/>
      <c r="F60" s="66"/>
      <c r="G60" s="66"/>
      <c r="H60" s="66"/>
      <c r="I60" s="66"/>
    </row>
    <row r="61" spans="1:11" ht="28.9" customHeight="1" x14ac:dyDescent="0.25">
      <c r="D61" s="65"/>
      <c r="E61" s="65"/>
      <c r="F61" s="65"/>
      <c r="G61" s="65"/>
      <c r="H61" s="65"/>
      <c r="I61" s="65"/>
    </row>
    <row r="62" spans="1:11" ht="13.5" customHeight="1" x14ac:dyDescent="0.25">
      <c r="A62" s="1"/>
      <c r="B62" s="1"/>
      <c r="C62" s="1"/>
    </row>
    <row r="63" spans="1:11" x14ac:dyDescent="0.25">
      <c r="A63" s="67"/>
      <c r="B63" s="67"/>
      <c r="C63" s="67"/>
    </row>
    <row r="85" spans="6:6" x14ac:dyDescent="0.25">
      <c r="F85" t="s">
        <v>9</v>
      </c>
    </row>
  </sheetData>
  <mergeCells count="13">
    <mergeCell ref="A3:A8"/>
    <mergeCell ref="A9:A14"/>
    <mergeCell ref="A15:A21"/>
    <mergeCell ref="A22:A28"/>
    <mergeCell ref="A29:A35"/>
    <mergeCell ref="D61:I61"/>
    <mergeCell ref="A63:C63"/>
    <mergeCell ref="A36:A42"/>
    <mergeCell ref="A43:A48"/>
    <mergeCell ref="A49:A53"/>
    <mergeCell ref="A54:A55"/>
    <mergeCell ref="A56:A57"/>
    <mergeCell ref="A60:I60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88"/>
  <sheetViews>
    <sheetView topLeftCell="A52" zoomScale="90" zoomScaleNormal="90" workbookViewId="0">
      <selection activeCell="B59" sqref="B59"/>
    </sheetView>
  </sheetViews>
  <sheetFormatPr baseColWidth="10" defaultRowHeight="15" x14ac:dyDescent="0.25"/>
  <cols>
    <col min="1" max="1" width="4.7109375" customWidth="1"/>
    <col min="2" max="2" width="3.42578125" customWidth="1"/>
    <col min="3" max="3" width="57.85546875" customWidth="1"/>
    <col min="4" max="4" width="6.140625" customWidth="1"/>
    <col min="5" max="5" width="7.14062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0" ht="18.75" x14ac:dyDescent="0.25">
      <c r="C1" s="27" t="s">
        <v>165</v>
      </c>
    </row>
    <row r="2" spans="1:10" ht="42.6" customHeight="1" x14ac:dyDescent="0.25">
      <c r="C2" s="26"/>
    </row>
    <row r="3" spans="1:10" ht="27" customHeight="1" x14ac:dyDescent="0.25">
      <c r="A3" s="28" t="s">
        <v>108</v>
      </c>
      <c r="B3" s="28" t="s">
        <v>109</v>
      </c>
      <c r="C3" s="28" t="s">
        <v>0</v>
      </c>
      <c r="D3" s="28" t="s">
        <v>10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</row>
    <row r="4" spans="1:10" ht="19.149999999999999" customHeight="1" x14ac:dyDescent="0.25">
      <c r="A4" s="76" t="s">
        <v>56</v>
      </c>
      <c r="B4" s="36">
        <v>1</v>
      </c>
      <c r="C4" s="37" t="s">
        <v>57</v>
      </c>
      <c r="D4" s="38">
        <v>4</v>
      </c>
      <c r="E4" s="39">
        <v>3</v>
      </c>
      <c r="F4" s="39"/>
      <c r="G4" s="39"/>
      <c r="H4" s="39"/>
      <c r="I4" s="39"/>
      <c r="J4" s="4"/>
    </row>
    <row r="5" spans="1:10" ht="19.149999999999999" customHeight="1" x14ac:dyDescent="0.25">
      <c r="A5" s="77"/>
      <c r="B5" s="34">
        <v>2</v>
      </c>
      <c r="C5" s="30" t="s">
        <v>18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77"/>
      <c r="B6" s="34">
        <v>3</v>
      </c>
      <c r="C6" s="30" t="s">
        <v>22</v>
      </c>
      <c r="D6" s="40">
        <v>4</v>
      </c>
      <c r="E6" s="32">
        <v>3</v>
      </c>
      <c r="F6" s="32"/>
      <c r="G6" s="32"/>
      <c r="H6" s="32"/>
      <c r="I6" s="32"/>
      <c r="J6" s="4"/>
    </row>
    <row r="7" spans="1:10" ht="19.149999999999999" customHeight="1" x14ac:dyDescent="0.25">
      <c r="A7" s="77"/>
      <c r="B7" s="34">
        <v>4</v>
      </c>
      <c r="C7" s="30" t="s">
        <v>20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x14ac:dyDescent="0.25">
      <c r="A8" s="77"/>
      <c r="B8" s="34">
        <v>5</v>
      </c>
      <c r="C8" s="30" t="s">
        <v>88</v>
      </c>
      <c r="D8" s="40">
        <v>6</v>
      </c>
      <c r="E8" s="32">
        <v>5</v>
      </c>
      <c r="F8" s="32"/>
      <c r="G8" s="32"/>
      <c r="H8" s="32"/>
      <c r="I8" s="32"/>
      <c r="J8" s="4"/>
    </row>
    <row r="9" spans="1:10" ht="19.149999999999999" customHeight="1" thickBot="1" x14ac:dyDescent="0.3">
      <c r="A9" s="78"/>
      <c r="B9" s="34">
        <v>6</v>
      </c>
      <c r="C9" s="41" t="s">
        <v>61</v>
      </c>
      <c r="D9" s="42">
        <v>6</v>
      </c>
      <c r="E9" s="43">
        <v>5</v>
      </c>
      <c r="F9" s="43"/>
      <c r="G9" s="43"/>
      <c r="H9" s="43"/>
      <c r="I9" s="43">
        <f>SUM(E4+E5+E6+E7+E8+E9)</f>
        <v>24</v>
      </c>
      <c r="J9" s="4"/>
    </row>
    <row r="10" spans="1:10" ht="19.149999999999999" customHeight="1" x14ac:dyDescent="0.25">
      <c r="A10" s="79" t="s">
        <v>51</v>
      </c>
      <c r="B10" s="44">
        <v>1</v>
      </c>
      <c r="C10" s="30" t="s">
        <v>19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x14ac:dyDescent="0.25">
      <c r="A11" s="77"/>
      <c r="B11" s="36">
        <v>2</v>
      </c>
      <c r="C11" s="45" t="s">
        <v>12</v>
      </c>
      <c r="D11" s="38">
        <v>4</v>
      </c>
      <c r="E11" s="39">
        <v>3</v>
      </c>
      <c r="F11" s="39"/>
      <c r="G11" s="39"/>
      <c r="H11" s="39"/>
      <c r="I11" s="39"/>
      <c r="J11" s="4"/>
    </row>
    <row r="12" spans="1:10" ht="19.149999999999999" customHeight="1" x14ac:dyDescent="0.25">
      <c r="A12" s="77"/>
      <c r="B12" s="34">
        <v>3</v>
      </c>
      <c r="C12" s="30" t="s">
        <v>14</v>
      </c>
      <c r="D12" s="38">
        <v>4</v>
      </c>
      <c r="E12" s="39">
        <v>3</v>
      </c>
      <c r="F12" s="32"/>
      <c r="G12" s="32"/>
      <c r="H12" s="32"/>
      <c r="I12" s="32"/>
      <c r="J12" s="4"/>
    </row>
    <row r="13" spans="1:10" ht="19.149999999999999" customHeight="1" x14ac:dyDescent="0.25">
      <c r="A13" s="77"/>
      <c r="B13" s="34">
        <v>4</v>
      </c>
      <c r="C13" s="30" t="s">
        <v>25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x14ac:dyDescent="0.25">
      <c r="A14" s="77"/>
      <c r="B14" s="34">
        <v>5</v>
      </c>
      <c r="C14" s="30" t="s">
        <v>111</v>
      </c>
      <c r="D14" s="40">
        <v>6</v>
      </c>
      <c r="E14" s="32">
        <v>5</v>
      </c>
      <c r="F14" s="32"/>
      <c r="G14" s="32"/>
      <c r="H14" s="32"/>
      <c r="I14" s="32"/>
      <c r="J14" s="4"/>
    </row>
    <row r="15" spans="1:10" ht="19.149999999999999" customHeight="1" thickBot="1" x14ac:dyDescent="0.3">
      <c r="A15" s="78"/>
      <c r="B15" s="46">
        <v>6</v>
      </c>
      <c r="C15" s="41" t="s">
        <v>112</v>
      </c>
      <c r="D15" s="42">
        <v>6</v>
      </c>
      <c r="E15" s="43">
        <v>5</v>
      </c>
      <c r="F15" s="43"/>
      <c r="G15" s="43"/>
      <c r="H15" s="43"/>
      <c r="I15" s="43">
        <f>E10+E11+E12+E13+E14+E15</f>
        <v>24</v>
      </c>
      <c r="J15" s="4"/>
    </row>
    <row r="16" spans="1:10" ht="19.149999999999999" customHeight="1" x14ac:dyDescent="0.25">
      <c r="A16" s="79" t="s">
        <v>52</v>
      </c>
      <c r="B16" s="44">
        <v>1</v>
      </c>
      <c r="C16" s="47" t="s">
        <v>15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x14ac:dyDescent="0.25">
      <c r="A17" s="77"/>
      <c r="B17" s="34">
        <v>2</v>
      </c>
      <c r="C17" s="30" t="s">
        <v>91</v>
      </c>
      <c r="D17" s="40">
        <v>4</v>
      </c>
      <c r="E17" s="32">
        <v>3</v>
      </c>
      <c r="F17" s="32"/>
      <c r="G17" s="32"/>
      <c r="H17" s="32"/>
      <c r="I17" s="32"/>
      <c r="J17" s="4"/>
    </row>
    <row r="18" spans="1:11" ht="19.149999999999999" customHeight="1" x14ac:dyDescent="0.25">
      <c r="A18" s="77"/>
      <c r="B18" s="34">
        <v>3</v>
      </c>
      <c r="C18" s="30" t="s">
        <v>26</v>
      </c>
      <c r="D18" s="40">
        <v>6</v>
      </c>
      <c r="E18" s="32">
        <v>5</v>
      </c>
      <c r="F18" s="32"/>
      <c r="G18" s="32"/>
      <c r="H18" s="32"/>
      <c r="I18" s="32"/>
      <c r="J18" s="4"/>
    </row>
    <row r="19" spans="1:11" ht="19.149999999999999" customHeight="1" x14ac:dyDescent="0.25">
      <c r="A19" s="77"/>
      <c r="B19" s="34">
        <v>4</v>
      </c>
      <c r="C19" s="30" t="s">
        <v>151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x14ac:dyDescent="0.25">
      <c r="A20" s="77"/>
      <c r="B20" s="34">
        <v>5</v>
      </c>
      <c r="C20" s="30" t="s">
        <v>113</v>
      </c>
      <c r="D20" s="40">
        <v>4</v>
      </c>
      <c r="E20" s="32">
        <v>3</v>
      </c>
      <c r="F20" s="32"/>
      <c r="G20" s="32"/>
      <c r="H20" s="32"/>
      <c r="I20" s="32"/>
      <c r="J20" s="4"/>
    </row>
    <row r="21" spans="1:11" ht="19.149999999999999" customHeight="1" x14ac:dyDescent="0.25">
      <c r="A21" s="77"/>
      <c r="B21" s="34">
        <v>6</v>
      </c>
      <c r="C21" s="30" t="s">
        <v>114</v>
      </c>
      <c r="D21" s="40">
        <v>4</v>
      </c>
      <c r="E21" s="32">
        <v>3</v>
      </c>
      <c r="F21" s="32"/>
      <c r="G21" s="48"/>
      <c r="H21" s="48"/>
      <c r="I21" s="48"/>
      <c r="J21" s="4"/>
    </row>
    <row r="22" spans="1:11" ht="19.149999999999999" customHeight="1" thickBot="1" x14ac:dyDescent="0.3">
      <c r="A22" s="78"/>
      <c r="B22" s="46">
        <v>7</v>
      </c>
      <c r="C22" s="41" t="s">
        <v>158</v>
      </c>
      <c r="D22" s="49">
        <v>4</v>
      </c>
      <c r="E22" s="50">
        <v>3</v>
      </c>
      <c r="F22" s="50"/>
      <c r="G22" s="43"/>
      <c r="H22" s="43"/>
      <c r="I22" s="43">
        <f>SUM(E16+E17+E18+E19+E20+E21+E22)</f>
        <v>23</v>
      </c>
      <c r="J22" s="4"/>
    </row>
    <row r="23" spans="1:11" ht="19.149999999999999" customHeight="1" x14ac:dyDescent="0.25">
      <c r="A23" s="79" t="s">
        <v>162</v>
      </c>
      <c r="B23" s="44">
        <v>1</v>
      </c>
      <c r="C23" s="30" t="s">
        <v>92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x14ac:dyDescent="0.25">
      <c r="A24" s="77"/>
      <c r="B24" s="36">
        <v>2</v>
      </c>
      <c r="C24" s="45" t="s">
        <v>23</v>
      </c>
      <c r="D24" s="38">
        <v>4</v>
      </c>
      <c r="E24" s="39">
        <v>3</v>
      </c>
      <c r="F24" s="39"/>
      <c r="G24" s="39"/>
      <c r="H24" s="39"/>
      <c r="I24" s="39"/>
      <c r="J24" s="4"/>
    </row>
    <row r="25" spans="1:11" ht="19.149999999999999" customHeight="1" x14ac:dyDescent="0.25">
      <c r="A25" s="77"/>
      <c r="B25" s="34">
        <v>3</v>
      </c>
      <c r="C25" s="30" t="s">
        <v>27</v>
      </c>
      <c r="D25" s="40">
        <v>6</v>
      </c>
      <c r="E25" s="32">
        <v>5</v>
      </c>
      <c r="F25" s="32"/>
      <c r="G25" s="32"/>
      <c r="H25" s="32"/>
      <c r="I25" s="32"/>
      <c r="J25" s="4"/>
      <c r="K25" s="2"/>
    </row>
    <row r="26" spans="1:11" ht="19.149999999999999" customHeight="1" x14ac:dyDescent="0.25">
      <c r="A26" s="77"/>
      <c r="B26" s="34">
        <v>4</v>
      </c>
      <c r="C26" s="30" t="s">
        <v>63</v>
      </c>
      <c r="D26" s="40">
        <v>4</v>
      </c>
      <c r="E26" s="32">
        <v>3</v>
      </c>
      <c r="F26" s="32"/>
      <c r="G26" s="32"/>
      <c r="H26" s="32"/>
      <c r="I26" s="32"/>
      <c r="J26" s="4"/>
    </row>
    <row r="27" spans="1:11" ht="19.149999999999999" customHeight="1" x14ac:dyDescent="0.25">
      <c r="A27" s="77"/>
      <c r="B27" s="34">
        <v>5</v>
      </c>
      <c r="C27" s="30" t="s">
        <v>115</v>
      </c>
      <c r="D27" s="40">
        <v>4</v>
      </c>
      <c r="E27" s="32">
        <v>3</v>
      </c>
      <c r="F27" s="32"/>
      <c r="G27" s="32"/>
      <c r="H27" s="32"/>
      <c r="I27" s="32"/>
      <c r="J27" s="4"/>
    </row>
    <row r="28" spans="1:11" ht="19.149999999999999" customHeight="1" x14ac:dyDescent="0.25">
      <c r="A28" s="77"/>
      <c r="B28" s="34">
        <v>6</v>
      </c>
      <c r="C28" s="30" t="s">
        <v>159</v>
      </c>
      <c r="D28" s="40">
        <v>4</v>
      </c>
      <c r="E28" s="32">
        <v>3</v>
      </c>
      <c r="F28" s="32"/>
      <c r="G28" s="32"/>
      <c r="H28" s="48"/>
      <c r="I28" s="48"/>
      <c r="J28" s="4"/>
    </row>
    <row r="29" spans="1:11" ht="19.149999999999999" customHeight="1" thickBot="1" x14ac:dyDescent="0.3">
      <c r="A29" s="78"/>
      <c r="B29" s="46">
        <v>7</v>
      </c>
      <c r="C29" s="37" t="s">
        <v>116</v>
      </c>
      <c r="D29" s="49">
        <v>4</v>
      </c>
      <c r="E29" s="50">
        <v>3</v>
      </c>
      <c r="F29" s="50"/>
      <c r="G29" s="50"/>
      <c r="H29" s="43"/>
      <c r="I29" s="43">
        <f>SUM(E24+E23+E25+E26+E27+E28+E29)</f>
        <v>23</v>
      </c>
      <c r="J29" s="4"/>
    </row>
    <row r="30" spans="1:11" ht="19.149999999999999" customHeight="1" x14ac:dyDescent="0.25">
      <c r="A30" s="79" t="s">
        <v>161</v>
      </c>
      <c r="B30" s="44">
        <v>1</v>
      </c>
      <c r="C30" s="51" t="s">
        <v>13</v>
      </c>
      <c r="D30" s="52">
        <v>4</v>
      </c>
      <c r="E30" s="53">
        <v>3</v>
      </c>
      <c r="F30" s="53"/>
      <c r="G30" s="53"/>
      <c r="H30" s="53"/>
      <c r="I30" s="53"/>
      <c r="J30" s="4"/>
    </row>
    <row r="31" spans="1:11" ht="19.149999999999999" customHeight="1" x14ac:dyDescent="0.25">
      <c r="A31" s="77"/>
      <c r="B31" s="34">
        <v>2</v>
      </c>
      <c r="C31" s="30" t="s">
        <v>28</v>
      </c>
      <c r="D31" s="40">
        <v>6</v>
      </c>
      <c r="E31" s="32">
        <v>5</v>
      </c>
      <c r="F31" s="32"/>
      <c r="G31" s="32"/>
      <c r="H31" s="32"/>
      <c r="I31" s="32"/>
      <c r="J31" s="4"/>
    </row>
    <row r="32" spans="1:11" ht="19.149999999999999" customHeight="1" x14ac:dyDescent="0.25">
      <c r="A32" s="77"/>
      <c r="B32" s="34">
        <v>3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21" ht="19.149999999999999" customHeight="1" x14ac:dyDescent="0.25">
      <c r="A33" s="77"/>
      <c r="B33" s="34">
        <v>4</v>
      </c>
      <c r="C33" s="30" t="s">
        <v>117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21" ht="19.149999999999999" customHeight="1" x14ac:dyDescent="0.25">
      <c r="A34" s="77"/>
      <c r="B34" s="34">
        <v>5</v>
      </c>
      <c r="C34" s="30" t="s">
        <v>119</v>
      </c>
      <c r="D34" s="40">
        <v>4</v>
      </c>
      <c r="E34" s="32">
        <v>3</v>
      </c>
      <c r="F34" s="32"/>
      <c r="G34" s="32"/>
      <c r="H34" s="32"/>
      <c r="I34" s="32"/>
      <c r="J34" s="4"/>
    </row>
    <row r="35" spans="1:21" ht="19.149999999999999" customHeight="1" x14ac:dyDescent="0.25">
      <c r="A35" s="77"/>
      <c r="B35" s="34">
        <v>6</v>
      </c>
      <c r="C35" s="30" t="s">
        <v>118</v>
      </c>
      <c r="D35" s="31">
        <v>4</v>
      </c>
      <c r="E35" s="32">
        <v>3</v>
      </c>
      <c r="F35" s="32"/>
      <c r="G35" s="32"/>
      <c r="H35" s="32"/>
      <c r="I35" s="32"/>
      <c r="J35" s="4"/>
    </row>
    <row r="36" spans="1:21" ht="19.149999999999999" customHeight="1" thickBot="1" x14ac:dyDescent="0.3">
      <c r="A36" s="71"/>
      <c r="B36" s="54">
        <v>7</v>
      </c>
      <c r="C36" s="30" t="s">
        <v>82</v>
      </c>
      <c r="D36" s="31">
        <v>4</v>
      </c>
      <c r="E36" s="32">
        <v>3</v>
      </c>
      <c r="F36" s="35"/>
      <c r="G36" s="35"/>
      <c r="H36" s="35"/>
      <c r="I36" s="43">
        <f>SUM(E30+E31+E32+E33+E34+E35+E36)</f>
        <v>23</v>
      </c>
    </row>
    <row r="37" spans="1:21" ht="18" customHeight="1" x14ac:dyDescent="0.25">
      <c r="A37" s="68" t="s">
        <v>160</v>
      </c>
      <c r="B37" s="34">
        <v>1</v>
      </c>
      <c r="C37" s="30" t="s">
        <v>59</v>
      </c>
      <c r="D37" s="40">
        <v>4</v>
      </c>
      <c r="E37" s="32">
        <v>3</v>
      </c>
      <c r="F37" s="32"/>
      <c r="G37" s="32"/>
      <c r="H37" s="32"/>
      <c r="I37" s="32"/>
    </row>
    <row r="38" spans="1:21" ht="31.9" customHeight="1" x14ac:dyDescent="0.25">
      <c r="A38" s="68"/>
      <c r="B38" s="34">
        <v>2</v>
      </c>
      <c r="C38" s="30" t="s">
        <v>29</v>
      </c>
      <c r="D38" s="40">
        <v>6</v>
      </c>
      <c r="E38" s="32">
        <v>5</v>
      </c>
      <c r="F38" s="32"/>
      <c r="G38" s="32"/>
      <c r="H38" s="32"/>
      <c r="I38" s="32"/>
    </row>
    <row r="39" spans="1:21" ht="19.149999999999999" customHeight="1" x14ac:dyDescent="0.25">
      <c r="A39" s="68"/>
      <c r="B39" s="34">
        <v>3</v>
      </c>
      <c r="C39" s="30" t="s">
        <v>64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  <c r="U39" s="4"/>
    </row>
    <row r="40" spans="1:21" ht="19.149999999999999" customHeight="1" x14ac:dyDescent="0.25">
      <c r="A40" s="68"/>
      <c r="B40" s="34">
        <v>4</v>
      </c>
      <c r="C40" s="30" t="s">
        <v>120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  <c r="U40" s="4"/>
    </row>
    <row r="41" spans="1:21" ht="19.149999999999999" customHeight="1" x14ac:dyDescent="0.25">
      <c r="A41" s="68"/>
      <c r="B41" s="34">
        <v>5</v>
      </c>
      <c r="C41" s="30" t="s">
        <v>152</v>
      </c>
      <c r="D41" s="40">
        <v>4</v>
      </c>
      <c r="E41" s="32">
        <v>3</v>
      </c>
      <c r="F41" s="32"/>
      <c r="G41" s="32"/>
      <c r="H41" s="32"/>
      <c r="I41" s="32"/>
      <c r="J41" s="4"/>
      <c r="K41" s="3"/>
      <c r="U41" s="4"/>
    </row>
    <row r="42" spans="1:21" ht="19.149999999999999" customHeight="1" x14ac:dyDescent="0.25">
      <c r="A42" s="68"/>
      <c r="B42" s="34">
        <v>5</v>
      </c>
      <c r="C42" s="30" t="s">
        <v>121</v>
      </c>
      <c r="D42" s="40">
        <v>4</v>
      </c>
      <c r="E42" s="32">
        <v>3</v>
      </c>
      <c r="F42" s="48"/>
      <c r="G42" s="48"/>
      <c r="H42" s="48"/>
      <c r="I42" s="48"/>
      <c r="J42" s="4"/>
      <c r="K42" s="3"/>
      <c r="U42" s="4"/>
    </row>
    <row r="43" spans="1:21" ht="19.149999999999999" customHeight="1" thickBot="1" x14ac:dyDescent="0.3">
      <c r="A43" s="68"/>
      <c r="B43" s="34">
        <v>6</v>
      </c>
      <c r="C43" s="41" t="s">
        <v>83</v>
      </c>
      <c r="D43" s="55">
        <v>4</v>
      </c>
      <c r="E43" s="43">
        <v>3</v>
      </c>
      <c r="F43" s="43"/>
      <c r="G43" s="43"/>
      <c r="H43" s="43"/>
      <c r="I43" s="43">
        <f>SUM(E37:E43)</f>
        <v>23</v>
      </c>
      <c r="J43" s="4"/>
      <c r="K43" s="3"/>
      <c r="U43" s="4"/>
    </row>
    <row r="44" spans="1:21" ht="19.149999999999999" customHeight="1" x14ac:dyDescent="0.25">
      <c r="A44" s="70" t="s">
        <v>54</v>
      </c>
      <c r="B44" s="44">
        <v>1</v>
      </c>
      <c r="C44" s="51" t="s">
        <v>58</v>
      </c>
      <c r="D44" s="38">
        <v>4</v>
      </c>
      <c r="E44" s="39">
        <v>3</v>
      </c>
      <c r="F44" s="39"/>
      <c r="G44" s="39"/>
      <c r="H44" s="39"/>
      <c r="I44" s="39"/>
      <c r="J44" s="4"/>
      <c r="K44" s="3"/>
      <c r="U44" s="4"/>
    </row>
    <row r="45" spans="1:21" ht="19.149999999999999" customHeight="1" x14ac:dyDescent="0.25">
      <c r="A45" s="68"/>
      <c r="B45" s="34">
        <v>2</v>
      </c>
      <c r="C45" s="30" t="s">
        <v>30</v>
      </c>
      <c r="D45" s="40">
        <v>10</v>
      </c>
      <c r="E45" s="32">
        <v>7</v>
      </c>
      <c r="F45" s="32"/>
      <c r="G45" s="32"/>
      <c r="H45" s="32"/>
      <c r="I45" s="32"/>
      <c r="J45" s="4"/>
      <c r="K45" s="3"/>
      <c r="U45" s="4"/>
    </row>
    <row r="46" spans="1:21" ht="19.149999999999999" customHeight="1" x14ac:dyDescent="0.25">
      <c r="A46" s="68"/>
      <c r="B46" s="34">
        <v>3</v>
      </c>
      <c r="C46" s="30" t="s">
        <v>122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  <c r="U46" s="4"/>
    </row>
    <row r="47" spans="1:21" ht="19.149999999999999" customHeight="1" x14ac:dyDescent="0.25">
      <c r="A47" s="68"/>
      <c r="B47" s="34">
        <v>4</v>
      </c>
      <c r="C47" s="30" t="s">
        <v>75</v>
      </c>
      <c r="D47" s="40">
        <v>4</v>
      </c>
      <c r="E47" s="32">
        <v>3</v>
      </c>
      <c r="F47" s="32"/>
      <c r="G47" s="32"/>
      <c r="H47" s="32"/>
      <c r="I47" s="32"/>
      <c r="J47" s="4"/>
      <c r="K47" s="3"/>
      <c r="U47" s="4"/>
    </row>
    <row r="48" spans="1:21" ht="19.149999999999999" customHeight="1" x14ac:dyDescent="0.25">
      <c r="A48" s="76"/>
      <c r="B48" s="34">
        <v>5</v>
      </c>
      <c r="C48" s="30" t="s">
        <v>123</v>
      </c>
      <c r="D48" s="31">
        <v>4</v>
      </c>
      <c r="E48" s="32">
        <v>3</v>
      </c>
      <c r="F48" s="48"/>
      <c r="G48" s="48"/>
      <c r="H48" s="48"/>
      <c r="I48" s="48"/>
      <c r="J48" s="4"/>
      <c r="K48" s="3"/>
      <c r="U48" s="4"/>
    </row>
    <row r="49" spans="1:21" ht="19.149999999999999" customHeight="1" thickBot="1" x14ac:dyDescent="0.3">
      <c r="A49" s="76"/>
      <c r="B49" s="46">
        <v>6</v>
      </c>
      <c r="C49" s="41" t="s">
        <v>84</v>
      </c>
      <c r="D49" s="55">
        <v>4</v>
      </c>
      <c r="E49" s="43">
        <v>3</v>
      </c>
      <c r="F49" s="48"/>
      <c r="G49" s="48"/>
      <c r="H49" s="48"/>
      <c r="I49" s="43">
        <f>SUM(E44:E49)</f>
        <v>22</v>
      </c>
      <c r="J49" s="4"/>
      <c r="K49" s="3"/>
      <c r="U49" s="4"/>
    </row>
    <row r="50" spans="1:21" ht="19.149999999999999" customHeight="1" x14ac:dyDescent="0.25">
      <c r="A50" s="88" t="s">
        <v>55</v>
      </c>
      <c r="B50" s="36">
        <v>1</v>
      </c>
      <c r="C50" s="37" t="s">
        <v>31</v>
      </c>
      <c r="D50" s="38">
        <v>12</v>
      </c>
      <c r="E50" s="39">
        <v>8</v>
      </c>
      <c r="F50" s="53"/>
      <c r="G50" s="53"/>
      <c r="H50" s="53"/>
      <c r="I50" s="53"/>
      <c r="J50" s="4"/>
      <c r="K50" s="3"/>
      <c r="U50" s="4"/>
    </row>
    <row r="51" spans="1:21" ht="19.149999999999999" customHeight="1" x14ac:dyDescent="0.25">
      <c r="A51" s="81"/>
      <c r="B51" s="36">
        <v>2</v>
      </c>
      <c r="C51" s="30" t="s">
        <v>77</v>
      </c>
      <c r="D51" s="40">
        <v>4</v>
      </c>
      <c r="E51" s="32">
        <v>3</v>
      </c>
      <c r="F51" s="39"/>
      <c r="G51" s="39"/>
      <c r="H51" s="39"/>
      <c r="I51" s="39"/>
      <c r="J51" s="4"/>
      <c r="K51" s="3"/>
      <c r="U51" s="4"/>
    </row>
    <row r="52" spans="1:21" ht="19.149999999999999" customHeight="1" x14ac:dyDescent="0.25">
      <c r="A52" s="81"/>
      <c r="B52" s="36">
        <v>3</v>
      </c>
      <c r="C52" s="30" t="s">
        <v>125</v>
      </c>
      <c r="D52" s="40">
        <v>4</v>
      </c>
      <c r="E52" s="32">
        <v>3</v>
      </c>
      <c r="F52" s="39"/>
      <c r="G52" s="39"/>
      <c r="H52" s="39"/>
      <c r="I52" s="39"/>
      <c r="J52" s="4"/>
      <c r="K52" s="3"/>
      <c r="U52" s="4"/>
    </row>
    <row r="53" spans="1:21" ht="19.149999999999999" customHeight="1" x14ac:dyDescent="0.25">
      <c r="A53" s="82"/>
      <c r="B53" s="34">
        <v>4</v>
      </c>
      <c r="C53" s="30" t="s">
        <v>124</v>
      </c>
      <c r="D53" s="40">
        <v>6</v>
      </c>
      <c r="E53" s="32">
        <v>5</v>
      </c>
      <c r="F53" s="32"/>
      <c r="G53" s="32"/>
      <c r="H53" s="32"/>
      <c r="I53" s="32"/>
      <c r="J53" s="4"/>
      <c r="K53" s="3"/>
      <c r="U53" s="4"/>
    </row>
    <row r="54" spans="1:21" ht="19.149999999999999" customHeight="1" thickBot="1" x14ac:dyDescent="0.3">
      <c r="A54" s="82"/>
      <c r="B54" s="46">
        <v>5</v>
      </c>
      <c r="C54" s="56" t="s">
        <v>85</v>
      </c>
      <c r="D54" s="55">
        <v>4</v>
      </c>
      <c r="E54" s="43">
        <v>3</v>
      </c>
      <c r="F54" s="43"/>
      <c r="G54" s="43"/>
      <c r="H54" s="43"/>
      <c r="I54" s="43">
        <f>SUM(E50:E54)</f>
        <v>22</v>
      </c>
      <c r="J54" s="4"/>
      <c r="K54" s="3"/>
      <c r="U54" s="4"/>
    </row>
    <row r="55" spans="1:21" ht="36" customHeight="1" x14ac:dyDescent="0.25">
      <c r="A55" s="81" t="s">
        <v>7</v>
      </c>
      <c r="B55" s="36">
        <v>1</v>
      </c>
      <c r="C55" s="37" t="s">
        <v>32</v>
      </c>
      <c r="D55" s="38">
        <v>26</v>
      </c>
      <c r="E55" s="39">
        <v>15</v>
      </c>
      <c r="F55" s="39"/>
      <c r="G55" s="39"/>
      <c r="H55" s="39"/>
      <c r="I55" s="39"/>
      <c r="J55" s="4"/>
      <c r="K55" s="3"/>
      <c r="U55" s="4"/>
    </row>
    <row r="56" spans="1:21" ht="48" customHeight="1" thickBot="1" x14ac:dyDescent="0.3">
      <c r="A56" s="89"/>
      <c r="B56" s="46">
        <v>2</v>
      </c>
      <c r="C56" s="41" t="s">
        <v>126</v>
      </c>
      <c r="D56" s="42">
        <v>4</v>
      </c>
      <c r="E56" s="43">
        <v>3</v>
      </c>
      <c r="F56" s="43"/>
      <c r="G56" s="43"/>
      <c r="H56" s="43"/>
      <c r="I56" s="43">
        <f>SUM(E55+E56)</f>
        <v>18</v>
      </c>
      <c r="J56" s="4"/>
      <c r="U56" s="4"/>
    </row>
    <row r="57" spans="1:21" ht="37.5" customHeight="1" x14ac:dyDescent="0.25">
      <c r="A57" s="88" t="s">
        <v>8</v>
      </c>
      <c r="B57" s="44">
        <v>1</v>
      </c>
      <c r="C57" s="51" t="s">
        <v>60</v>
      </c>
      <c r="D57" s="38">
        <v>26</v>
      </c>
      <c r="E57" s="39">
        <v>15</v>
      </c>
      <c r="F57" s="39"/>
      <c r="G57" s="39"/>
      <c r="H57" s="39"/>
      <c r="I57" s="39"/>
      <c r="J57" s="4"/>
      <c r="K57" s="3"/>
      <c r="U57" s="4"/>
    </row>
    <row r="58" spans="1:21" ht="47.25" customHeight="1" thickBot="1" x14ac:dyDescent="0.3">
      <c r="A58" s="89"/>
      <c r="B58" s="46">
        <v>2</v>
      </c>
      <c r="C58" s="41" t="s">
        <v>81</v>
      </c>
      <c r="D58" s="42">
        <v>4</v>
      </c>
      <c r="E58" s="43">
        <v>3</v>
      </c>
      <c r="F58" s="43"/>
      <c r="G58" s="43"/>
      <c r="H58" s="43"/>
      <c r="I58" s="43">
        <f>SUM(E57+E58)</f>
        <v>18</v>
      </c>
      <c r="J58" s="4"/>
      <c r="K58" s="3"/>
      <c r="U58" s="4"/>
    </row>
    <row r="59" spans="1:21" ht="19.149999999999999" customHeight="1" x14ac:dyDescent="0.25">
      <c r="A59" s="73"/>
      <c r="B59" s="21"/>
      <c r="C59" s="12"/>
      <c r="D59" s="22"/>
      <c r="E59" s="17"/>
      <c r="F59" s="17"/>
      <c r="G59" s="17"/>
      <c r="H59" s="17"/>
      <c r="I59" s="17"/>
      <c r="J59" s="4"/>
      <c r="K59" s="3"/>
      <c r="U59" s="4"/>
    </row>
    <row r="60" spans="1:21" ht="19.149999999999999" customHeight="1" x14ac:dyDescent="0.25">
      <c r="A60" s="73"/>
      <c r="B60" s="21"/>
      <c r="C60" s="12"/>
      <c r="D60" s="22"/>
      <c r="E60" s="17"/>
      <c r="F60" s="17"/>
      <c r="G60" s="17"/>
      <c r="H60" s="17"/>
      <c r="I60" s="17"/>
      <c r="J60" s="4"/>
      <c r="K60" s="3"/>
      <c r="U60" s="4"/>
    </row>
    <row r="61" spans="1:21" ht="12.9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21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21" x14ac:dyDescent="0.25">
      <c r="A63" s="74"/>
      <c r="B63" s="74"/>
      <c r="C63" s="74"/>
      <c r="D63" s="74"/>
      <c r="E63" s="74"/>
      <c r="F63" s="74"/>
      <c r="G63" s="74"/>
      <c r="H63" s="74"/>
      <c r="I63" s="74"/>
    </row>
    <row r="64" spans="1:21" ht="28.9" customHeight="1" x14ac:dyDescent="0.25">
      <c r="A64" s="19"/>
      <c r="B64" s="19"/>
      <c r="C64" s="19"/>
      <c r="D64" s="75"/>
      <c r="E64" s="75"/>
      <c r="F64" s="75"/>
      <c r="G64" s="75"/>
      <c r="H64" s="75"/>
      <c r="I64" s="75"/>
    </row>
    <row r="65" spans="1:9" ht="13.5" customHeight="1" x14ac:dyDescent="0.25">
      <c r="A65" s="23"/>
      <c r="B65" s="23"/>
      <c r="C65" s="23"/>
      <c r="D65" s="19"/>
      <c r="E65" s="19"/>
      <c r="F65" s="19"/>
      <c r="G65" s="19"/>
      <c r="H65" s="19"/>
      <c r="I65" s="19"/>
    </row>
    <row r="66" spans="1:9" x14ac:dyDescent="0.25">
      <c r="A66" s="72"/>
      <c r="B66" s="72"/>
      <c r="C66" s="72"/>
      <c r="D66" s="19"/>
      <c r="E66" s="19"/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19"/>
      <c r="F74" s="19"/>
      <c r="G74" s="19"/>
      <c r="H74" s="19"/>
      <c r="I74" s="19"/>
    </row>
    <row r="88" spans="6:6" x14ac:dyDescent="0.25">
      <c r="F88" t="s">
        <v>9</v>
      </c>
    </row>
  </sheetData>
  <mergeCells count="14">
    <mergeCell ref="A66:C66"/>
    <mergeCell ref="A59:A60"/>
    <mergeCell ref="A63:I63"/>
    <mergeCell ref="D64:I64"/>
    <mergeCell ref="A4:A9"/>
    <mergeCell ref="A10:A15"/>
    <mergeCell ref="A16:A22"/>
    <mergeCell ref="A23:A29"/>
    <mergeCell ref="A30:A36"/>
    <mergeCell ref="A37:A43"/>
    <mergeCell ref="A44:A49"/>
    <mergeCell ref="A50:A54"/>
    <mergeCell ref="A55:A56"/>
    <mergeCell ref="A57:A58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GARCIA</cp:lastModifiedBy>
  <cp:lastPrinted>2025-09-23T15:12:38Z</cp:lastPrinted>
  <dcterms:created xsi:type="dcterms:W3CDTF">2012-03-01T09:35:12Z</dcterms:created>
  <dcterms:modified xsi:type="dcterms:W3CDTF">2026-01-17T08:26:55Z</dcterms:modified>
</cp:coreProperties>
</file>