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niw\Downloads\"/>
    </mc:Choice>
  </mc:AlternateContent>
  <xr:revisionPtr revIDLastSave="0" documentId="8_{475F113D-C284-4C17-9450-DBEB2F1C7F2D}" xr6:coauthVersionLast="47" xr6:coauthVersionMax="47" xr10:uidLastSave="{00000000-0000-0000-0000-000000000000}"/>
  <bookViews>
    <workbookView xWindow="-120" yWindow="-120" windowWidth="29040" windowHeight="15840" activeTab="3" xr2:uid="{BFAFC3F3-9963-4AA7-99AB-0B05C5417A9B}"/>
  </bookViews>
  <sheets>
    <sheet name="INICIAL 2020" sheetId="12" r:id="rId1"/>
    <sheet name="PRIMARIA 2020 " sheetId="10" r:id="rId2"/>
    <sheet name="ED. FISICA 2020" sheetId="9" r:id="rId3"/>
    <sheet name="COMUNICACIÓN 2020 " sheetId="11" r:id="rId4"/>
  </sheets>
  <definedNames>
    <definedName name="_xlnm.Print_Area" localSheetId="3">'COMUNICACIÓN 2020 '!$A$1:$I$82</definedName>
    <definedName name="_xlnm.Print_Area" localSheetId="2">'ED. FISICA 2020'!$A$9:$I$80</definedName>
    <definedName name="_xlnm.Print_Area" localSheetId="1">'PRIMARIA 2020 '!$A$1:$G$85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2" l="1"/>
  <c r="I66" i="12"/>
  <c r="I64" i="12"/>
  <c r="I59" i="12"/>
  <c r="I53" i="12"/>
  <c r="I46" i="12"/>
  <c r="I39" i="12"/>
  <c r="I32" i="12"/>
  <c r="I25" i="12"/>
  <c r="I19" i="12"/>
  <c r="I65" i="11"/>
  <c r="I63" i="11"/>
  <c r="I61" i="11"/>
  <c r="I56" i="11"/>
  <c r="I50" i="11"/>
  <c r="I16" i="11"/>
  <c r="I22" i="11"/>
  <c r="I29" i="11"/>
  <c r="I36" i="11"/>
  <c r="I43" i="11"/>
  <c r="I69" i="10"/>
  <c r="I67" i="10"/>
  <c r="I65" i="10"/>
  <c r="I60" i="10"/>
  <c r="I54" i="10"/>
  <c r="I47" i="10"/>
  <c r="I40" i="10"/>
  <c r="I33" i="10"/>
  <c r="I26" i="10"/>
  <c r="I20" i="10"/>
  <c r="I43" i="9"/>
  <c r="I36" i="9"/>
  <c r="I29" i="9"/>
  <c r="I22" i="9"/>
  <c r="I65" i="9"/>
  <c r="I63" i="9"/>
  <c r="I61" i="9"/>
  <c r="I56" i="9"/>
  <c r="I50" i="9"/>
  <c r="I16" i="9"/>
</calcChain>
</file>

<file path=xl/sharedStrings.xml><?xml version="1.0" encoding="utf-8"?>
<sst xmlns="http://schemas.openxmlformats.org/spreadsheetml/2006/main" count="498" uniqueCount="175">
  <si>
    <t>AREAS / ASIGNATURAS</t>
  </si>
  <si>
    <t>CRED.</t>
  </si>
  <si>
    <t>PTJE.</t>
  </si>
  <si>
    <t>FECHA</t>
  </si>
  <si>
    <t>OBSERVACIÓN</t>
  </si>
  <si>
    <t>PUNT.</t>
  </si>
  <si>
    <t>S E X T O</t>
  </si>
  <si>
    <t>NOVENO</t>
  </si>
  <si>
    <t>DECIMO</t>
  </si>
  <si>
    <t>}</t>
  </si>
  <si>
    <t>HORA</t>
  </si>
  <si>
    <t xml:space="preserve">Lectura y Escritura en la Educación Superior </t>
  </si>
  <si>
    <t>Comunicación Oral en la Educación Superior</t>
  </si>
  <si>
    <t>Arte, Creatividad y Aprendizaje</t>
  </si>
  <si>
    <t>Ciencia y Epistemologías</t>
  </si>
  <si>
    <t>Literatura y Sociedad en Contextos Diversos</t>
  </si>
  <si>
    <t>Alfabetización Científica</t>
  </si>
  <si>
    <t xml:space="preserve">Ética y Filosofía para el Pensamiento Crítico </t>
  </si>
  <si>
    <t>Resolución de Problemas Matemáticos I</t>
  </si>
  <si>
    <t>Resolución de Problemas Matemáticos II</t>
  </si>
  <si>
    <t>Desarrollo Personal I</t>
  </si>
  <si>
    <t>Desarrollo Personal II</t>
  </si>
  <si>
    <t>Historia, Sociedad y Diversidad</t>
  </si>
  <si>
    <t>Deliberación y Participación</t>
  </si>
  <si>
    <t xml:space="preserve">Práctica e Investigación I </t>
  </si>
  <si>
    <t>Práctica e Investigación II</t>
  </si>
  <si>
    <t>Práctica e Investigación III</t>
  </si>
  <si>
    <t>Práctica e Investigación IV</t>
  </si>
  <si>
    <t>Práctica e Investigación V</t>
  </si>
  <si>
    <t>Práctica e Investigación VI</t>
  </si>
  <si>
    <t>Práctica e Investigación VII</t>
  </si>
  <si>
    <t>Práctica e Investigación VIII</t>
  </si>
  <si>
    <t>Práctica e Investigación IX</t>
  </si>
  <si>
    <t>Práctica e Investigación X</t>
  </si>
  <si>
    <t>Fundamentos de la Educación Inicial</t>
  </si>
  <si>
    <t>Desarrollo Personal y Social en la Primera Infancia</t>
  </si>
  <si>
    <t xml:space="preserve">Juego, Desarrollo y Aprendizaje en la Primera Infancia </t>
  </si>
  <si>
    <t>Inclusión Educativa para la Atención a la Diversidad</t>
  </si>
  <si>
    <t>Desarrollo del Pensamiento</t>
  </si>
  <si>
    <t>Desarrollo de la Psicomotricidad en la Primera Infancia</t>
  </si>
  <si>
    <t>Desarrollo de la Comunicación en la Primera Infancia</t>
  </si>
  <si>
    <t>Convivencia y Ciudadanía en la Primera Infancia</t>
  </si>
  <si>
    <t>Desarrollo de la Matemática en la Primera Infancia</t>
  </si>
  <si>
    <t>Expresión del Arte en la Primera Infancia</t>
  </si>
  <si>
    <t>Gestión de la Atención y Cuidado Infantil</t>
  </si>
  <si>
    <t>Desarrollo de la Creatividad en la Primera Infancia</t>
  </si>
  <si>
    <t>Aprendizaje y Enseñanza de la Ciencia en ciclo II</t>
  </si>
  <si>
    <t>Políticas y Gestión para el Servicio Educativo</t>
  </si>
  <si>
    <t>Atención a las Necesidades Educativas Especiales</t>
  </si>
  <si>
    <t>Gestión de los Servicios Educativos en Educación Inicial</t>
  </si>
  <si>
    <t>Escuela, Familia y Comunidad</t>
  </si>
  <si>
    <t>SEGUNDO</t>
  </si>
  <si>
    <t>TERCERO</t>
  </si>
  <si>
    <t>CUARTO</t>
  </si>
  <si>
    <t>SEPTIMO</t>
  </si>
  <si>
    <t>OCTAVO</t>
  </si>
  <si>
    <t>PRIMERO</t>
  </si>
  <si>
    <t>Lectura y Escritura en la Educación Superior</t>
  </si>
  <si>
    <t>Desarrollo Personal  II</t>
  </si>
  <si>
    <t>Ética y Filosofía para el Pensamiento Crítico</t>
  </si>
  <si>
    <t>Práctica e Investigación I - X</t>
  </si>
  <si>
    <t>Educación y Sociedad en el siglo XXI</t>
  </si>
  <si>
    <t xml:space="preserve">Planificación, Mediación y Evaluación de los Aprendizajes I </t>
  </si>
  <si>
    <t>Planificación, Mediación y Evaluación de los Aprendizajes II</t>
  </si>
  <si>
    <t>Planificación, Mediación y Evaluación de los Aprendizajes III</t>
  </si>
  <si>
    <t>Niñez y Adolescencias: Desarrollo, Cambios e Identidades</t>
  </si>
  <si>
    <t>Niñez, Adolescencias y Aprendizajes</t>
  </si>
  <si>
    <t>Didáctica General de la Educación Física</t>
  </si>
  <si>
    <t>Corporeidad y Motricidad</t>
  </si>
  <si>
    <t>Educación Sexual Integral</t>
  </si>
  <si>
    <t>Culturas Escolares y Cambio Educativo</t>
  </si>
  <si>
    <t>Psicología en la actividad física y el deporte</t>
  </si>
  <si>
    <t>Teoría y Práctica de los Juegos</t>
  </si>
  <si>
    <t>Nutrición y Calidad de Vida</t>
  </si>
  <si>
    <t>Cultura Escolar: Recreación, Ocio y Tiempo Libre</t>
  </si>
  <si>
    <t>Convivencia Escolar y Orientación Educativa</t>
  </si>
  <si>
    <t>Actividad Física Terapéutica y Primeros Auxilios</t>
  </si>
  <si>
    <t>Gestión de Aprendizajes para la Atención a la Diversidad</t>
  </si>
  <si>
    <t>Educación Física Inclusiva</t>
  </si>
  <si>
    <t>Electivos III</t>
  </si>
  <si>
    <t>Electivos IV</t>
  </si>
  <si>
    <t>Políticas y Gestión Territorial del Servicio Educativo</t>
  </si>
  <si>
    <t>Electivo I</t>
  </si>
  <si>
    <t>Electivo II</t>
  </si>
  <si>
    <t>Electivo III</t>
  </si>
  <si>
    <t>Electivo IV</t>
  </si>
  <si>
    <t>Electivo V</t>
  </si>
  <si>
    <t>Electivo VI</t>
  </si>
  <si>
    <t>Práctica e Investigación I</t>
  </si>
  <si>
    <t xml:space="preserve">Electivo I </t>
  </si>
  <si>
    <t xml:space="preserve">Resolución de Problemas Matemáticos I </t>
  </si>
  <si>
    <t>Inglés para Principiantes / Beginner English I (A1)</t>
  </si>
  <si>
    <t>Inglés para Principiantes / Beginner English II (A1)</t>
  </si>
  <si>
    <t>Desarrollo y Aprendizaje I</t>
  </si>
  <si>
    <t>Desarrollo y Aprendizaje II</t>
  </si>
  <si>
    <t>Fundamentos para la Educación Primaria</t>
  </si>
  <si>
    <t>Aprendizaje de las Matemáticas I</t>
  </si>
  <si>
    <t>Aprendizaje de las Matemáticas II</t>
  </si>
  <si>
    <t>Aprendizaje de las Matemáticas III</t>
  </si>
  <si>
    <t>Construcción de la Identidad y Ejercicio de la Ciudadanía</t>
  </si>
  <si>
    <t>Aprendizaje de las Ciencias Sociales</t>
  </si>
  <si>
    <t>Artes Integradas para el Aprendizaje</t>
  </si>
  <si>
    <t>Aprendizaje de las Ciencias I</t>
  </si>
  <si>
    <t>Aprendizaje de las Ciencias II</t>
  </si>
  <si>
    <t>Políticas y Gestión Educativa</t>
  </si>
  <si>
    <t>Tutoría y Orientación Educativa</t>
  </si>
  <si>
    <t>Aprendizaje de la Comunicación I</t>
  </si>
  <si>
    <t>Aprendizaje de la Comunicación II</t>
  </si>
  <si>
    <t>N°</t>
  </si>
  <si>
    <t>Didáctica de la Ed. Física a través de los deportes colectivos I</t>
  </si>
  <si>
    <t>Las Adolescentes: Desarrollo, Cambios e Identidades</t>
  </si>
  <si>
    <t>Planificación, Mediación y Evaluación de los Aprendizajes I</t>
  </si>
  <si>
    <t>Educacción Sexual Integral</t>
  </si>
  <si>
    <t>Pedagogías de Comunicación I</t>
  </si>
  <si>
    <t>Estructura y Significado</t>
  </si>
  <si>
    <t>Teoría e Interpretación Literaria I</t>
  </si>
  <si>
    <t>Pragmáticay Contexto</t>
  </si>
  <si>
    <t>Perspectiva sobre la Lectura</t>
  </si>
  <si>
    <t>Perspectiva sobre la Oralidad</t>
  </si>
  <si>
    <t>Argumentación</t>
  </si>
  <si>
    <t>Educación Mediática</t>
  </si>
  <si>
    <t>Teoria e Interpretación Literatura II</t>
  </si>
  <si>
    <t>Análisis Crítico del Discurso</t>
  </si>
  <si>
    <t>Perspectiva sobre la Educación Literaria</t>
  </si>
  <si>
    <t>Pedagogías de la Comunicación II</t>
  </si>
  <si>
    <t>Debates Actuales en Literacidades y Prácticas  Comunicativas</t>
  </si>
  <si>
    <t>Interacciones de Calidad y Desarrollo en la Primera Infancia I</t>
  </si>
  <si>
    <t>Interacciones de Calidad y Desarrollo en la Primera Infancia II</t>
  </si>
  <si>
    <t>Planificación por Competencias y Evaluac. para el Aprendizaje I</t>
  </si>
  <si>
    <t>Planificación por Competencias y Evaluac. para el Aprrendizaje II</t>
  </si>
  <si>
    <t>Planificación por Competencias y Evaluación para el Aprendizaje I</t>
  </si>
  <si>
    <t xml:space="preserve">Inglés para Principiantes / Beginner English  I </t>
  </si>
  <si>
    <t xml:space="preserve">Inglés para Principiantes / Beginner English  II </t>
  </si>
  <si>
    <t>Inglés para Principiantes / Beginner English  III</t>
  </si>
  <si>
    <t>Inglés para Principiantes / Beginner English  IV</t>
  </si>
  <si>
    <t>Planificación por Competencias y Evaluación para el Aprendizaje III</t>
  </si>
  <si>
    <t>Corporeidad y Motricidad para el Aprendizaje y la Autonomía</t>
  </si>
  <si>
    <t>Planificación por Competencias y Eval. para el Aprendizaje II</t>
  </si>
  <si>
    <t>Atención a la Diversidad y Necesidades de Aprendizaje  I</t>
  </si>
  <si>
    <t>Inglés para Principiantes / Beginner English  IV  (A2)</t>
  </si>
  <si>
    <t>Inglés para Principiantes / Beginner English III  A2</t>
  </si>
  <si>
    <t>Inglés para Principiantes / Beginner English II  A1</t>
  </si>
  <si>
    <t>Inglés para Principiantes / Beginner English I A1</t>
  </si>
  <si>
    <t>Atención a la Diversidad y Necesidades de AprendIzaje II</t>
  </si>
  <si>
    <t>Espiritualidad y Manifestaciones Religiosas para el Aprendizaje</t>
  </si>
  <si>
    <t>Anatomía y Fisiología del Cuerpo Humano II</t>
  </si>
  <si>
    <t>Didáctica de Educación Física a través de los deportes individuales II</t>
  </si>
  <si>
    <t>Didáctica de la Educaión Física a través de los Deportes de Combate</t>
  </si>
  <si>
    <t>Educación Física y Deporte para el Desarrollo</t>
  </si>
  <si>
    <t>Adolescencias y Aprendizajes</t>
  </si>
  <si>
    <t>Perspectivas sobre la Escritura</t>
  </si>
  <si>
    <t xml:space="preserve">Inglés para Principiantes / Beginner English II </t>
  </si>
  <si>
    <t>Inglés para Principiantes / Beginner English I</t>
  </si>
  <si>
    <t xml:space="preserve">Didáctica de Educación Física a través de los Deportes Individuales I </t>
  </si>
  <si>
    <t>Anatomía y Fisiología del Cuerpo Humano I</t>
  </si>
  <si>
    <t>Didáctica de la Educación Física a través de los Deportes Colectivos II</t>
  </si>
  <si>
    <t>Sociolingüística y Educación</t>
  </si>
  <si>
    <t>Lingüística del Texto</t>
  </si>
  <si>
    <t>SEXTO</t>
  </si>
  <si>
    <t>QUINTO</t>
  </si>
  <si>
    <t xml:space="preserve"> CUARTO</t>
  </si>
  <si>
    <t xml:space="preserve">EDUCACIÓN PRIMARIA (RVM N° 204-2019-MINEDU) </t>
  </si>
  <si>
    <t xml:space="preserve">EDUCACIÓN INICIAL (RVM N° 163-2019-MINEDU) </t>
  </si>
  <si>
    <r>
      <rPr>
        <b/>
        <sz val="14"/>
        <color rgb="FF000000"/>
        <rFont val="Calibri"/>
        <family val="2"/>
        <scheme val="minor"/>
      </rPr>
      <t>COMUNICACIÓN</t>
    </r>
    <r>
      <rPr>
        <sz val="14"/>
        <color rgb="FF000000"/>
        <rFont val="Calibri"/>
        <family val="2"/>
        <scheme val="minor"/>
      </rPr>
      <t xml:space="preserve"> (RVM N° 143-2020-MINEDU)</t>
    </r>
  </si>
  <si>
    <t xml:space="preserve">SEGUNDO </t>
  </si>
  <si>
    <t xml:space="preserve">TERCERO  </t>
  </si>
  <si>
    <t>EDUCACIÓN FISICA (RVM N° 147-2020-MINEDU)</t>
  </si>
  <si>
    <t>SEMESTRE</t>
  </si>
  <si>
    <t>Tarma</t>
  </si>
  <si>
    <t>PLANTILLA DE CALIFICACIONES</t>
  </si>
  <si>
    <t>"Gustavo Allende Llaveria"</t>
  </si>
  <si>
    <r>
      <rPr>
        <b/>
        <i/>
        <sz val="36"/>
        <color rgb="FF000000"/>
        <rFont val="Calibri"/>
        <family val="2"/>
        <scheme val="minor"/>
      </rPr>
      <t>Instituto  de Educación Superior Pedagógico Público</t>
    </r>
    <r>
      <rPr>
        <b/>
        <sz val="36"/>
        <color rgb="FF000000"/>
        <rFont val="Calibri"/>
        <family val="2"/>
        <scheme val="minor"/>
      </rPr>
      <t xml:space="preserve"> </t>
    </r>
  </si>
  <si>
    <r>
      <rPr>
        <b/>
        <i/>
        <sz val="26"/>
        <color rgb="FF000000"/>
        <rFont val="Calibri"/>
        <family val="2"/>
        <scheme val="minor"/>
      </rPr>
      <t>Instituto  de Educación Superior Pedagógico Público</t>
    </r>
    <r>
      <rPr>
        <b/>
        <sz val="26"/>
        <color rgb="FF000000"/>
        <rFont val="Calibri"/>
        <family val="2"/>
        <scheme val="minor"/>
      </rPr>
      <t xml:space="preserve"> </t>
    </r>
  </si>
  <si>
    <r>
      <t xml:space="preserve">                              </t>
    </r>
    <r>
      <rPr>
        <b/>
        <i/>
        <sz val="26"/>
        <color rgb="FF000000"/>
        <rFont val="Calibri"/>
        <family val="2"/>
        <scheme val="minor"/>
      </rPr>
      <t>Tarma</t>
    </r>
  </si>
  <si>
    <t xml:space="preserve">                                               Tarma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</si>
</sst>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theme="1"/>
      <name val="Arial Unicode MS"/>
      <family val="2"/>
    </font>
    <font>
      <b/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0"/>
      <color theme="1"/>
      <name val="Arial Unicode MS"/>
      <family val="2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6"/>
      <color rgb="FF000000"/>
      <name val="Calibri"/>
      <family val="2"/>
      <scheme val="minor"/>
    </font>
    <font>
      <b/>
      <sz val="36"/>
      <color rgb="FF000000"/>
      <name val="Calibri"/>
      <family val="2"/>
      <scheme val="minor"/>
    </font>
    <font>
      <b/>
      <i/>
      <sz val="36"/>
      <color rgb="FF000000"/>
      <name val="Calibri"/>
      <family val="2"/>
      <scheme val="minor"/>
    </font>
    <font>
      <b/>
      <sz val="36"/>
      <color rgb="FF000000"/>
      <name val="Brush Script MT"/>
      <family val="4"/>
    </font>
    <font>
      <b/>
      <i/>
      <sz val="26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/>
    <xf numFmtId="0" fontId="1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wrapText="1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13" fillId="0" borderId="4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1" fillId="0" borderId="4" xfId="0" applyFont="1" applyBorder="1" applyAlignment="1">
      <alignment vertical="center" wrapText="1"/>
    </xf>
    <xf numFmtId="0" fontId="11" fillId="0" borderId="13" xfId="0" applyFont="1" applyBorder="1" applyAlignment="1">
      <alignment vertical="center" wrapText="1"/>
    </xf>
    <xf numFmtId="0" fontId="11" fillId="0" borderId="3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3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5" fillId="0" borderId="0" xfId="0" applyFont="1" applyAlignment="1">
      <alignment horizontal="center" vertical="center" textRotation="90"/>
    </xf>
    <xf numFmtId="0" fontId="11" fillId="0" borderId="0" xfId="0" applyFont="1" applyAlignment="1">
      <alignment horizontal="center" vertical="center" textRotation="90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8" fillId="0" borderId="0" xfId="0" applyFont="1" applyAlignment="1">
      <alignment horizontal="center" vertical="center" textRotation="90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 textRotation="90"/>
    </xf>
    <xf numFmtId="0" fontId="9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0" fontId="17" fillId="2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6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430292</xdr:colOff>
      <xdr:row>4</xdr:row>
      <xdr:rowOff>168088</xdr:rowOff>
    </xdr:from>
    <xdr:to>
      <xdr:col>9</xdr:col>
      <xdr:colOff>369795</xdr:colOff>
      <xdr:row>11</xdr:row>
      <xdr:rowOff>137154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7372A-8A82-4A95-AC67-17BBC93E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89880" y="1815353"/>
          <a:ext cx="2270327" cy="2243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100855</xdr:colOff>
      <xdr:row>4</xdr:row>
      <xdr:rowOff>178174</xdr:rowOff>
    </xdr:from>
    <xdr:to>
      <xdr:col>9</xdr:col>
      <xdr:colOff>190499</xdr:colOff>
      <xdr:row>12</xdr:row>
      <xdr:rowOff>119733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BD7737F-42C6-4EFD-9C66-42E63CF12C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69943" y="1534086"/>
          <a:ext cx="2129115" cy="2104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180975</xdr:colOff>
      <xdr:row>4</xdr:row>
      <xdr:rowOff>171450</xdr:rowOff>
    </xdr:from>
    <xdr:to>
      <xdr:col>9</xdr:col>
      <xdr:colOff>247650</xdr:colOff>
      <xdr:row>8</xdr:row>
      <xdr:rowOff>483394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95E0D7-DB72-43C4-AEFA-B12DD5896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67450" y="1819275"/>
          <a:ext cx="1838325" cy="18168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317501</xdr:colOff>
      <xdr:row>4</xdr:row>
      <xdr:rowOff>338599</xdr:rowOff>
    </xdr:from>
    <xdr:to>
      <xdr:col>9</xdr:col>
      <xdr:colOff>254001</xdr:colOff>
      <xdr:row>8</xdr:row>
      <xdr:rowOff>455084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C0B69E-CBFE-4EA2-80BB-54E5B234A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0334" y="2000182"/>
          <a:ext cx="1809750" cy="1788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72D21-5D28-4E47-8E7E-B4F6EAA1F8A7}">
  <dimension ref="A1:K68"/>
  <sheetViews>
    <sheetView zoomScale="85" zoomScaleNormal="85" workbookViewId="0">
      <selection activeCell="Q24" sqref="Q24"/>
    </sheetView>
  </sheetViews>
  <sheetFormatPr baseColWidth="10" defaultRowHeight="15"/>
  <cols>
    <col min="1" max="1" width="23" customWidth="1"/>
    <col min="3" max="3" width="56.7109375" customWidth="1"/>
    <col min="8" max="8" width="12.140625" customWidth="1"/>
  </cols>
  <sheetData>
    <row r="1" spans="1:11" ht="15.75">
      <c r="C1" s="21"/>
    </row>
    <row r="2" spans="1:11" ht="18.75">
      <c r="A2" s="11"/>
      <c r="B2" s="15"/>
      <c r="C2" s="20"/>
      <c r="D2" s="17"/>
      <c r="E2" s="17"/>
      <c r="F2" s="17"/>
      <c r="G2" s="17"/>
    </row>
    <row r="3" spans="1:11" ht="46.5">
      <c r="A3" s="75" t="s">
        <v>171</v>
      </c>
      <c r="B3" s="75"/>
      <c r="C3" s="75"/>
      <c r="D3" s="75"/>
      <c r="E3" s="75"/>
      <c r="F3" s="75"/>
      <c r="G3" s="75"/>
      <c r="H3" s="75"/>
      <c r="I3" s="75"/>
      <c r="J3" s="82"/>
      <c r="K3" s="82"/>
    </row>
    <row r="4" spans="1:11" ht="48.75">
      <c r="A4" s="76" t="s">
        <v>170</v>
      </c>
      <c r="B4" s="76"/>
      <c r="C4" s="76"/>
      <c r="D4" s="76"/>
      <c r="E4" s="76"/>
      <c r="F4" s="76"/>
      <c r="G4" s="76"/>
      <c r="H4" s="76"/>
      <c r="I4" s="76"/>
      <c r="J4" s="81"/>
      <c r="K4" s="81"/>
    </row>
    <row r="6" spans="1:11" ht="46.5">
      <c r="A6" s="84" t="s">
        <v>174</v>
      </c>
      <c r="B6" s="85"/>
      <c r="C6" s="85"/>
      <c r="D6" s="85"/>
      <c r="E6" s="85"/>
      <c r="F6" s="85"/>
      <c r="G6" s="85"/>
      <c r="H6" s="85"/>
      <c r="I6" s="85"/>
      <c r="J6" s="85"/>
      <c r="K6" s="85"/>
    </row>
    <row r="7" spans="1:11" ht="18.75">
      <c r="A7" s="11"/>
      <c r="B7" s="15"/>
      <c r="C7" s="20"/>
      <c r="D7" s="17"/>
      <c r="E7" s="17"/>
      <c r="F7" s="17"/>
      <c r="G7" s="17"/>
    </row>
    <row r="8" spans="1:11" ht="18.75">
      <c r="A8" s="11"/>
      <c r="B8" s="15"/>
      <c r="C8" s="20"/>
      <c r="D8" s="17"/>
      <c r="E8" s="17"/>
      <c r="F8" s="17"/>
      <c r="G8" s="17"/>
    </row>
    <row r="9" spans="1:11" ht="46.5">
      <c r="A9" s="78" t="s">
        <v>169</v>
      </c>
      <c r="B9" s="78"/>
      <c r="C9" s="78"/>
      <c r="D9" s="78"/>
      <c r="E9" s="78"/>
      <c r="F9" s="78"/>
      <c r="G9" s="78"/>
      <c r="H9" s="78"/>
      <c r="I9" s="79"/>
      <c r="J9" s="80"/>
      <c r="K9" s="80"/>
    </row>
    <row r="11" spans="1:11" ht="18.75">
      <c r="A11" s="11"/>
      <c r="B11" s="15"/>
      <c r="C11" s="20" t="s">
        <v>162</v>
      </c>
      <c r="D11" s="17"/>
      <c r="E11" s="17"/>
      <c r="F11" s="17"/>
      <c r="G11" s="17"/>
    </row>
    <row r="13" spans="1:11" ht="19.5" customHeight="1">
      <c r="A13" s="23" t="s">
        <v>167</v>
      </c>
      <c r="B13" s="23" t="s">
        <v>108</v>
      </c>
      <c r="C13" s="23" t="s">
        <v>0</v>
      </c>
      <c r="D13" s="23" t="s">
        <v>10</v>
      </c>
      <c r="E13" s="23" t="s">
        <v>1</v>
      </c>
      <c r="F13" s="23" t="s">
        <v>2</v>
      </c>
      <c r="G13" s="23" t="s">
        <v>3</v>
      </c>
      <c r="H13" s="23" t="s">
        <v>4</v>
      </c>
      <c r="I13" s="23" t="s">
        <v>5</v>
      </c>
    </row>
    <row r="14" spans="1:11" ht="16.5" customHeight="1">
      <c r="A14" s="53" t="s">
        <v>56</v>
      </c>
      <c r="B14" s="24">
        <v>1</v>
      </c>
      <c r="C14" s="25" t="s">
        <v>11</v>
      </c>
      <c r="D14" s="26">
        <v>4</v>
      </c>
      <c r="E14" s="27">
        <v>3</v>
      </c>
      <c r="F14" s="27"/>
      <c r="G14" s="27"/>
      <c r="H14" s="27"/>
      <c r="I14" s="27"/>
    </row>
    <row r="15" spans="1:11" ht="18" customHeight="1">
      <c r="A15" s="53" t="s">
        <v>56</v>
      </c>
      <c r="B15" s="24">
        <v>2</v>
      </c>
      <c r="C15" s="25" t="s">
        <v>18</v>
      </c>
      <c r="D15" s="26">
        <v>4</v>
      </c>
      <c r="E15" s="27">
        <v>3</v>
      </c>
      <c r="F15" s="27"/>
      <c r="G15" s="27"/>
      <c r="H15" s="27"/>
      <c r="I15" s="27"/>
    </row>
    <row r="16" spans="1:11" ht="15" customHeight="1">
      <c r="A16" s="53" t="s">
        <v>56</v>
      </c>
      <c r="B16" s="24">
        <v>3</v>
      </c>
      <c r="C16" s="25" t="s">
        <v>20</v>
      </c>
      <c r="D16" s="26">
        <v>4</v>
      </c>
      <c r="E16" s="27">
        <v>3</v>
      </c>
      <c r="F16" s="27"/>
      <c r="G16" s="27"/>
      <c r="H16" s="27"/>
      <c r="I16" s="27"/>
    </row>
    <row r="17" spans="1:9" ht="15" customHeight="1">
      <c r="A17" s="53" t="s">
        <v>56</v>
      </c>
      <c r="B17" s="24">
        <v>4</v>
      </c>
      <c r="C17" s="25" t="s">
        <v>24</v>
      </c>
      <c r="D17" s="26">
        <v>6</v>
      </c>
      <c r="E17" s="27">
        <v>5</v>
      </c>
      <c r="F17" s="27"/>
      <c r="G17" s="27"/>
      <c r="H17" s="27"/>
      <c r="I17" s="27"/>
    </row>
    <row r="18" spans="1:9" ht="15" customHeight="1">
      <c r="A18" s="53" t="s">
        <v>56</v>
      </c>
      <c r="B18" s="24">
        <v>5</v>
      </c>
      <c r="C18" s="25" t="s">
        <v>34</v>
      </c>
      <c r="D18" s="26">
        <v>6</v>
      </c>
      <c r="E18" s="27">
        <v>5</v>
      </c>
      <c r="F18" s="27"/>
      <c r="G18" s="27"/>
      <c r="H18" s="27"/>
      <c r="I18" s="27"/>
    </row>
    <row r="19" spans="1:9" ht="15" customHeight="1">
      <c r="A19" s="53" t="s">
        <v>56</v>
      </c>
      <c r="B19" s="24">
        <v>6</v>
      </c>
      <c r="C19" s="25" t="s">
        <v>126</v>
      </c>
      <c r="D19" s="26">
        <v>6</v>
      </c>
      <c r="E19" s="27">
        <v>5</v>
      </c>
      <c r="F19" s="27"/>
      <c r="G19" s="27"/>
      <c r="H19" s="27"/>
      <c r="I19" s="27">
        <f>SUM(E14+E15+E16+E17+E18+E19)</f>
        <v>24</v>
      </c>
    </row>
    <row r="20" spans="1:9" ht="15" customHeight="1">
      <c r="A20" s="53" t="s">
        <v>51</v>
      </c>
      <c r="B20" s="24">
        <v>1</v>
      </c>
      <c r="C20" s="25" t="s">
        <v>12</v>
      </c>
      <c r="D20" s="26">
        <v>4</v>
      </c>
      <c r="E20" s="27">
        <v>3</v>
      </c>
      <c r="F20" s="27"/>
      <c r="G20" s="27"/>
      <c r="H20" s="27"/>
      <c r="I20" s="27"/>
    </row>
    <row r="21" spans="1:9" ht="15" customHeight="1">
      <c r="A21" s="53" t="s">
        <v>51</v>
      </c>
      <c r="B21" s="24">
        <v>2</v>
      </c>
      <c r="C21" s="25" t="s">
        <v>19</v>
      </c>
      <c r="D21" s="26">
        <v>4</v>
      </c>
      <c r="E21" s="27">
        <v>3</v>
      </c>
      <c r="F21" s="27"/>
      <c r="G21" s="27"/>
      <c r="H21" s="27"/>
      <c r="I21" s="27"/>
    </row>
    <row r="22" spans="1:9" ht="15" customHeight="1">
      <c r="A22" s="53" t="s">
        <v>51</v>
      </c>
      <c r="B22" s="24">
        <v>3</v>
      </c>
      <c r="C22" s="25" t="s">
        <v>22</v>
      </c>
      <c r="D22" s="26">
        <v>4</v>
      </c>
      <c r="E22" s="27">
        <v>3</v>
      </c>
      <c r="F22" s="27"/>
      <c r="G22" s="27"/>
      <c r="H22" s="27"/>
      <c r="I22" s="27"/>
    </row>
    <row r="23" spans="1:9" ht="15" customHeight="1">
      <c r="A23" s="53" t="s">
        <v>51</v>
      </c>
      <c r="B23" s="24">
        <v>4</v>
      </c>
      <c r="C23" s="25" t="s">
        <v>25</v>
      </c>
      <c r="D23" s="26">
        <v>6</v>
      </c>
      <c r="E23" s="27">
        <v>5</v>
      </c>
      <c r="F23" s="27"/>
      <c r="G23" s="27"/>
      <c r="H23" s="27"/>
      <c r="I23" s="27"/>
    </row>
    <row r="24" spans="1:9" ht="15" customHeight="1">
      <c r="A24" s="53" t="s">
        <v>51</v>
      </c>
      <c r="B24" s="24">
        <v>5</v>
      </c>
      <c r="C24" s="25" t="s">
        <v>127</v>
      </c>
      <c r="D24" s="26">
        <v>6</v>
      </c>
      <c r="E24" s="27">
        <v>5</v>
      </c>
      <c r="F24" s="27"/>
      <c r="G24" s="27"/>
      <c r="H24" s="27"/>
      <c r="I24" s="27"/>
    </row>
    <row r="25" spans="1:9" ht="15" customHeight="1">
      <c r="A25" s="53" t="s">
        <v>51</v>
      </c>
      <c r="B25" s="24">
        <v>6</v>
      </c>
      <c r="C25" s="25" t="s">
        <v>128</v>
      </c>
      <c r="D25" s="26">
        <v>6</v>
      </c>
      <c r="E25" s="27">
        <v>5</v>
      </c>
      <c r="F25" s="28"/>
      <c r="G25" s="27"/>
      <c r="H25" s="27"/>
      <c r="I25" s="27">
        <f>SUM(E20+E21+E22+E23+E24+E25)</f>
        <v>24</v>
      </c>
    </row>
    <row r="26" spans="1:9" ht="15" customHeight="1">
      <c r="A26" s="53" t="s">
        <v>52</v>
      </c>
      <c r="B26" s="24">
        <v>1</v>
      </c>
      <c r="C26" s="25" t="s">
        <v>13</v>
      </c>
      <c r="D26" s="26">
        <v>4</v>
      </c>
      <c r="E26" s="27">
        <v>3</v>
      </c>
      <c r="F26" s="27"/>
      <c r="G26" s="27"/>
      <c r="H26" s="27"/>
      <c r="I26" s="27"/>
    </row>
    <row r="27" spans="1:9" ht="15" customHeight="1">
      <c r="A27" s="53" t="s">
        <v>52</v>
      </c>
      <c r="B27" s="24">
        <v>2</v>
      </c>
      <c r="C27" s="25" t="s">
        <v>131</v>
      </c>
      <c r="D27" s="26">
        <v>4</v>
      </c>
      <c r="E27" s="27">
        <v>3</v>
      </c>
      <c r="F27" s="27"/>
      <c r="G27" s="27"/>
      <c r="H27" s="27"/>
      <c r="I27" s="27"/>
    </row>
    <row r="28" spans="1:9" ht="15" customHeight="1">
      <c r="A28" s="53" t="s">
        <v>52</v>
      </c>
      <c r="B28" s="24">
        <v>3</v>
      </c>
      <c r="C28" s="25" t="s">
        <v>21</v>
      </c>
      <c r="D28" s="26">
        <v>4</v>
      </c>
      <c r="E28" s="27">
        <v>3</v>
      </c>
      <c r="F28" s="27"/>
      <c r="G28" s="27"/>
      <c r="H28" s="27"/>
      <c r="I28" s="27"/>
    </row>
    <row r="29" spans="1:9" ht="15" customHeight="1">
      <c r="A29" s="53" t="s">
        <v>52</v>
      </c>
      <c r="B29" s="24">
        <v>4</v>
      </c>
      <c r="C29" s="25" t="s">
        <v>26</v>
      </c>
      <c r="D29" s="26">
        <v>6</v>
      </c>
      <c r="E29" s="27">
        <v>5</v>
      </c>
      <c r="F29" s="27"/>
      <c r="G29" s="27"/>
      <c r="H29" s="27"/>
      <c r="I29" s="27"/>
    </row>
    <row r="30" spans="1:9" ht="15" customHeight="1">
      <c r="A30" s="53" t="s">
        <v>52</v>
      </c>
      <c r="B30" s="24">
        <v>5</v>
      </c>
      <c r="C30" s="25" t="s">
        <v>35</v>
      </c>
      <c r="D30" s="26">
        <v>4</v>
      </c>
      <c r="E30" s="27">
        <v>3</v>
      </c>
      <c r="F30" s="27"/>
      <c r="G30" s="27"/>
      <c r="H30" s="27"/>
      <c r="I30" s="27"/>
    </row>
    <row r="31" spans="1:9" ht="15" customHeight="1">
      <c r="A31" s="53" t="s">
        <v>52</v>
      </c>
      <c r="B31" s="24">
        <v>6</v>
      </c>
      <c r="C31" s="25" t="s">
        <v>36</v>
      </c>
      <c r="D31" s="26">
        <v>4</v>
      </c>
      <c r="E31" s="27">
        <v>3</v>
      </c>
      <c r="F31" s="27"/>
      <c r="G31" s="27"/>
      <c r="H31" s="27"/>
      <c r="I31" s="27"/>
    </row>
    <row r="32" spans="1:9" ht="15" customHeight="1">
      <c r="A32" s="53" t="s">
        <v>52</v>
      </c>
      <c r="B32" s="24">
        <v>7</v>
      </c>
      <c r="C32" s="25" t="s">
        <v>82</v>
      </c>
      <c r="D32" s="26">
        <v>4</v>
      </c>
      <c r="E32" s="27">
        <v>3</v>
      </c>
      <c r="F32" s="27"/>
      <c r="G32" s="27"/>
      <c r="H32" s="27"/>
      <c r="I32" s="27">
        <f>SUM(E26+E27+E28+E29+E30+E31+E32)</f>
        <v>23</v>
      </c>
    </row>
    <row r="33" spans="1:9" ht="15" customHeight="1">
      <c r="A33" s="53" t="s">
        <v>53</v>
      </c>
      <c r="B33" s="24">
        <v>1</v>
      </c>
      <c r="C33" s="25" t="s">
        <v>14</v>
      </c>
      <c r="D33" s="26">
        <v>4</v>
      </c>
      <c r="E33" s="27">
        <v>3</v>
      </c>
      <c r="F33" s="27"/>
      <c r="G33" s="27"/>
      <c r="H33" s="27"/>
      <c r="I33" s="27"/>
    </row>
    <row r="34" spans="1:9" ht="15" customHeight="1">
      <c r="A34" s="53" t="s">
        <v>53</v>
      </c>
      <c r="B34" s="24">
        <v>2</v>
      </c>
      <c r="C34" s="25" t="s">
        <v>132</v>
      </c>
      <c r="D34" s="26">
        <v>4</v>
      </c>
      <c r="E34" s="27">
        <v>3</v>
      </c>
      <c r="F34" s="27"/>
      <c r="G34" s="27"/>
      <c r="H34" s="27"/>
      <c r="I34" s="27"/>
    </row>
    <row r="35" spans="1:9" ht="15" customHeight="1">
      <c r="A35" s="53" t="s">
        <v>53</v>
      </c>
      <c r="B35" s="24">
        <v>3</v>
      </c>
      <c r="C35" s="25" t="s">
        <v>23</v>
      </c>
      <c r="D35" s="26">
        <v>4</v>
      </c>
      <c r="E35" s="27">
        <v>3</v>
      </c>
      <c r="F35" s="27"/>
      <c r="G35" s="27"/>
      <c r="H35" s="27"/>
      <c r="I35" s="27"/>
    </row>
    <row r="36" spans="1:9" ht="15" customHeight="1">
      <c r="A36" s="53" t="s">
        <v>53</v>
      </c>
      <c r="B36" s="24">
        <v>4</v>
      </c>
      <c r="C36" s="25" t="s">
        <v>27</v>
      </c>
      <c r="D36" s="26">
        <v>6</v>
      </c>
      <c r="E36" s="27">
        <v>5</v>
      </c>
      <c r="F36" s="27"/>
      <c r="G36" s="27"/>
      <c r="H36" s="27"/>
      <c r="I36" s="27"/>
    </row>
    <row r="37" spans="1:9" ht="15" customHeight="1">
      <c r="A37" s="53" t="s">
        <v>53</v>
      </c>
      <c r="B37" s="24">
        <v>5</v>
      </c>
      <c r="C37" s="25" t="s">
        <v>129</v>
      </c>
      <c r="D37" s="26">
        <v>4</v>
      </c>
      <c r="E37" s="27">
        <v>3</v>
      </c>
      <c r="F37" s="27"/>
      <c r="G37" s="27"/>
      <c r="H37" s="27"/>
      <c r="I37" s="27"/>
    </row>
    <row r="38" spans="1:9" ht="15" customHeight="1">
      <c r="A38" s="53" t="s">
        <v>53</v>
      </c>
      <c r="B38" s="24">
        <v>6</v>
      </c>
      <c r="C38" s="25" t="s">
        <v>37</v>
      </c>
      <c r="D38" s="26">
        <v>4</v>
      </c>
      <c r="E38" s="27">
        <v>3</v>
      </c>
      <c r="F38" s="27"/>
      <c r="G38" s="27"/>
      <c r="H38" s="27"/>
      <c r="I38" s="27"/>
    </row>
    <row r="39" spans="1:9" ht="15" customHeight="1">
      <c r="A39" s="53" t="s">
        <v>53</v>
      </c>
      <c r="B39" s="24">
        <v>7</v>
      </c>
      <c r="C39" s="25" t="s">
        <v>83</v>
      </c>
      <c r="D39" s="26">
        <v>4</v>
      </c>
      <c r="E39" s="27">
        <v>3</v>
      </c>
      <c r="F39" s="27"/>
      <c r="G39" s="27"/>
      <c r="H39" s="27"/>
      <c r="I39" s="27">
        <f>SUM(E33+E34+E35+E36+E37+E38+E39)</f>
        <v>23</v>
      </c>
    </row>
    <row r="40" spans="1:9" ht="15" customHeight="1">
      <c r="A40" s="53" t="s">
        <v>159</v>
      </c>
      <c r="B40" s="24">
        <v>1</v>
      </c>
      <c r="C40" s="25" t="s">
        <v>15</v>
      </c>
      <c r="D40" s="26">
        <v>4</v>
      </c>
      <c r="E40" s="27">
        <v>3</v>
      </c>
      <c r="F40" s="27"/>
      <c r="G40" s="27"/>
      <c r="H40" s="27"/>
      <c r="I40" s="27"/>
    </row>
    <row r="41" spans="1:9" ht="15" customHeight="1">
      <c r="A41" s="53" t="s">
        <v>159</v>
      </c>
      <c r="B41" s="24">
        <v>2</v>
      </c>
      <c r="C41" s="25" t="s">
        <v>133</v>
      </c>
      <c r="D41" s="26">
        <v>4</v>
      </c>
      <c r="E41" s="27">
        <v>3</v>
      </c>
      <c r="F41" s="27"/>
      <c r="G41" s="27"/>
      <c r="H41" s="27"/>
      <c r="I41" s="27"/>
    </row>
    <row r="42" spans="1:9" ht="15" customHeight="1">
      <c r="A42" s="53" t="s">
        <v>159</v>
      </c>
      <c r="B42" s="24">
        <v>3</v>
      </c>
      <c r="C42" s="25" t="s">
        <v>28</v>
      </c>
      <c r="D42" s="26">
        <v>6</v>
      </c>
      <c r="E42" s="27">
        <v>5</v>
      </c>
      <c r="F42" s="27"/>
      <c r="G42" s="27"/>
      <c r="H42" s="27"/>
      <c r="I42" s="27"/>
    </row>
    <row r="43" spans="1:9" ht="15" customHeight="1">
      <c r="A43" s="53" t="s">
        <v>159</v>
      </c>
      <c r="B43" s="24">
        <v>4</v>
      </c>
      <c r="C43" s="25" t="s">
        <v>38</v>
      </c>
      <c r="D43" s="26">
        <v>4</v>
      </c>
      <c r="E43" s="27">
        <v>3</v>
      </c>
      <c r="F43" s="27"/>
      <c r="G43" s="27"/>
      <c r="H43" s="27"/>
      <c r="I43" s="27"/>
    </row>
    <row r="44" spans="1:9" ht="15" customHeight="1">
      <c r="A44" s="53" t="s">
        <v>159</v>
      </c>
      <c r="B44" s="24">
        <v>5</v>
      </c>
      <c r="C44" s="25" t="s">
        <v>39</v>
      </c>
      <c r="D44" s="26">
        <v>4</v>
      </c>
      <c r="E44" s="27">
        <v>3</v>
      </c>
      <c r="F44" s="27"/>
      <c r="G44" s="27"/>
      <c r="H44" s="27"/>
      <c r="I44" s="27"/>
    </row>
    <row r="45" spans="1:9" ht="15" customHeight="1">
      <c r="A45" s="53" t="s">
        <v>159</v>
      </c>
      <c r="B45" s="24">
        <v>6</v>
      </c>
      <c r="C45" s="25" t="s">
        <v>40</v>
      </c>
      <c r="D45" s="26">
        <v>4</v>
      </c>
      <c r="E45" s="27">
        <v>3</v>
      </c>
      <c r="F45" s="27"/>
      <c r="G45" s="27"/>
      <c r="H45" s="27"/>
      <c r="I45" s="27"/>
    </row>
    <row r="46" spans="1:9" ht="15" customHeight="1">
      <c r="A46" s="53" t="s">
        <v>159</v>
      </c>
      <c r="B46" s="24">
        <v>7</v>
      </c>
      <c r="C46" s="25" t="s">
        <v>84</v>
      </c>
      <c r="D46" s="26">
        <v>4</v>
      </c>
      <c r="E46" s="27">
        <v>3</v>
      </c>
      <c r="F46" s="27"/>
      <c r="G46" s="27"/>
      <c r="H46" s="27"/>
      <c r="I46" s="27">
        <f>SUM(E40+E41+E42+E43+E44+E45+E46)</f>
        <v>23</v>
      </c>
    </row>
    <row r="47" spans="1:9" ht="15" customHeight="1">
      <c r="A47" s="53" t="s">
        <v>6</v>
      </c>
      <c r="B47" s="29">
        <v>1</v>
      </c>
      <c r="C47" s="25" t="s">
        <v>16</v>
      </c>
      <c r="D47" s="26">
        <v>4</v>
      </c>
      <c r="E47" s="27">
        <v>3</v>
      </c>
      <c r="F47" s="27"/>
      <c r="G47" s="27"/>
      <c r="H47" s="27"/>
      <c r="I47" s="27"/>
    </row>
    <row r="48" spans="1:9" ht="15" customHeight="1">
      <c r="A48" s="53" t="s">
        <v>6</v>
      </c>
      <c r="B48" s="29">
        <v>2</v>
      </c>
      <c r="C48" s="25" t="s">
        <v>134</v>
      </c>
      <c r="D48" s="26">
        <v>4</v>
      </c>
      <c r="E48" s="27">
        <v>3</v>
      </c>
      <c r="F48" s="27"/>
      <c r="G48" s="27"/>
      <c r="H48" s="27"/>
      <c r="I48" s="27"/>
    </row>
    <row r="49" spans="1:9" ht="15" customHeight="1">
      <c r="A49" s="53" t="s">
        <v>6</v>
      </c>
      <c r="B49" s="29">
        <v>3</v>
      </c>
      <c r="C49" s="25" t="s">
        <v>29</v>
      </c>
      <c r="D49" s="26">
        <v>6</v>
      </c>
      <c r="E49" s="27">
        <v>5</v>
      </c>
      <c r="F49" s="27"/>
      <c r="G49" s="27"/>
      <c r="H49" s="27"/>
      <c r="I49" s="27"/>
    </row>
    <row r="50" spans="1:9" ht="15" customHeight="1">
      <c r="A50" s="53" t="s">
        <v>6</v>
      </c>
      <c r="B50" s="29">
        <v>4</v>
      </c>
      <c r="C50" s="25" t="s">
        <v>41</v>
      </c>
      <c r="D50" s="26">
        <v>4</v>
      </c>
      <c r="E50" s="27">
        <v>3</v>
      </c>
      <c r="F50" s="27"/>
      <c r="G50" s="27"/>
      <c r="H50" s="27"/>
      <c r="I50" s="27"/>
    </row>
    <row r="51" spans="1:9" ht="15" customHeight="1">
      <c r="A51" s="53" t="s">
        <v>6</v>
      </c>
      <c r="B51" s="29">
        <v>5</v>
      </c>
      <c r="C51" s="25" t="s">
        <v>42</v>
      </c>
      <c r="D51" s="26">
        <v>4</v>
      </c>
      <c r="E51" s="27">
        <v>3</v>
      </c>
      <c r="F51" s="27"/>
      <c r="G51" s="27"/>
      <c r="H51" s="27"/>
      <c r="I51" s="27"/>
    </row>
    <row r="52" spans="1:9" ht="15" customHeight="1">
      <c r="A52" s="53" t="s">
        <v>6</v>
      </c>
      <c r="B52" s="29">
        <v>6</v>
      </c>
      <c r="C52" s="25" t="s">
        <v>43</v>
      </c>
      <c r="D52" s="26">
        <v>4</v>
      </c>
      <c r="E52" s="27">
        <v>3</v>
      </c>
      <c r="F52" s="27"/>
      <c r="G52" s="27"/>
      <c r="H52" s="27"/>
      <c r="I52" s="27"/>
    </row>
    <row r="53" spans="1:9" ht="15" customHeight="1">
      <c r="A53" s="53" t="s">
        <v>6</v>
      </c>
      <c r="B53" s="29">
        <v>7</v>
      </c>
      <c r="C53" s="25" t="s">
        <v>85</v>
      </c>
      <c r="D53" s="26">
        <v>4</v>
      </c>
      <c r="E53" s="27">
        <v>3</v>
      </c>
      <c r="F53" s="27"/>
      <c r="G53" s="27"/>
      <c r="H53" s="27"/>
      <c r="I53" s="27">
        <f>SUM(E47+E48+E49+E50+E51+E52+E53)</f>
        <v>23</v>
      </c>
    </row>
    <row r="54" spans="1:9" ht="15" customHeight="1">
      <c r="A54" s="53" t="s">
        <v>54</v>
      </c>
      <c r="B54" s="29">
        <v>1</v>
      </c>
      <c r="C54" s="25" t="s">
        <v>17</v>
      </c>
      <c r="D54" s="26">
        <v>4</v>
      </c>
      <c r="E54" s="27">
        <v>3</v>
      </c>
      <c r="F54" s="27"/>
      <c r="G54" s="27"/>
      <c r="H54" s="27"/>
      <c r="I54" s="27"/>
    </row>
    <row r="55" spans="1:9" ht="15" customHeight="1">
      <c r="A55" s="53" t="s">
        <v>54</v>
      </c>
      <c r="B55" s="29">
        <v>2</v>
      </c>
      <c r="C55" s="25" t="s">
        <v>30</v>
      </c>
      <c r="D55" s="26">
        <v>10</v>
      </c>
      <c r="E55" s="27">
        <v>7</v>
      </c>
      <c r="F55" s="27"/>
      <c r="G55" s="27"/>
      <c r="H55" s="27"/>
      <c r="I55" s="27"/>
    </row>
    <row r="56" spans="1:9" ht="15" customHeight="1">
      <c r="A56" s="53" t="s">
        <v>54</v>
      </c>
      <c r="B56" s="29">
        <v>3</v>
      </c>
      <c r="C56" s="25" t="s">
        <v>44</v>
      </c>
      <c r="D56" s="26">
        <v>4</v>
      </c>
      <c r="E56" s="27">
        <v>3</v>
      </c>
      <c r="F56" s="27"/>
      <c r="G56" s="27"/>
      <c r="H56" s="27"/>
      <c r="I56" s="27"/>
    </row>
    <row r="57" spans="1:9" ht="15" customHeight="1">
      <c r="A57" s="53" t="s">
        <v>54</v>
      </c>
      <c r="B57" s="29">
        <v>4</v>
      </c>
      <c r="C57" s="25" t="s">
        <v>45</v>
      </c>
      <c r="D57" s="26">
        <v>4</v>
      </c>
      <c r="E57" s="27">
        <v>3</v>
      </c>
      <c r="F57" s="27"/>
      <c r="G57" s="27"/>
      <c r="H57" s="27"/>
      <c r="I57" s="27"/>
    </row>
    <row r="58" spans="1:9" ht="15" customHeight="1">
      <c r="A58" s="53" t="s">
        <v>54</v>
      </c>
      <c r="B58" s="29">
        <v>5</v>
      </c>
      <c r="C58" s="25" t="s">
        <v>46</v>
      </c>
      <c r="D58" s="26">
        <v>4</v>
      </c>
      <c r="E58" s="27">
        <v>3</v>
      </c>
      <c r="F58" s="27"/>
      <c r="G58" s="27"/>
      <c r="H58" s="27"/>
      <c r="I58" s="27"/>
    </row>
    <row r="59" spans="1:9" ht="15" customHeight="1">
      <c r="A59" s="53" t="s">
        <v>54</v>
      </c>
      <c r="B59" s="29">
        <v>6</v>
      </c>
      <c r="C59" s="25" t="s">
        <v>86</v>
      </c>
      <c r="D59" s="26">
        <v>4</v>
      </c>
      <c r="E59" s="27">
        <v>3</v>
      </c>
      <c r="F59" s="27"/>
      <c r="G59" s="27"/>
      <c r="H59" s="27"/>
      <c r="I59" s="27">
        <f>SUM(E54+E55+E56+E57+E58+E59)</f>
        <v>22</v>
      </c>
    </row>
    <row r="60" spans="1:9" ht="15" customHeight="1">
      <c r="A60" s="53" t="s">
        <v>55</v>
      </c>
      <c r="B60" s="29">
        <v>1</v>
      </c>
      <c r="C60" s="25" t="s">
        <v>31</v>
      </c>
      <c r="D60" s="26">
        <v>12</v>
      </c>
      <c r="E60" s="27">
        <v>8</v>
      </c>
      <c r="F60" s="27"/>
      <c r="G60" s="27"/>
      <c r="H60" s="27"/>
      <c r="I60" s="27"/>
    </row>
    <row r="61" spans="1:9" ht="15" customHeight="1">
      <c r="A61" s="53" t="s">
        <v>55</v>
      </c>
      <c r="B61" s="29">
        <v>2</v>
      </c>
      <c r="C61" s="25" t="s">
        <v>135</v>
      </c>
      <c r="D61" s="26">
        <v>6</v>
      </c>
      <c r="E61" s="27">
        <v>5</v>
      </c>
      <c r="F61" s="27"/>
      <c r="G61" s="27"/>
      <c r="H61" s="27"/>
      <c r="I61" s="27"/>
    </row>
    <row r="62" spans="1:9" ht="15" customHeight="1">
      <c r="A62" s="53" t="s">
        <v>55</v>
      </c>
      <c r="B62" s="29">
        <v>3</v>
      </c>
      <c r="C62" s="25" t="s">
        <v>47</v>
      </c>
      <c r="D62" s="26">
        <v>4</v>
      </c>
      <c r="E62" s="27">
        <v>3</v>
      </c>
      <c r="F62" s="27"/>
      <c r="G62" s="27"/>
      <c r="H62" s="27"/>
      <c r="I62" s="27"/>
    </row>
    <row r="63" spans="1:9" ht="15" customHeight="1">
      <c r="A63" s="53" t="s">
        <v>55</v>
      </c>
      <c r="B63" s="29">
        <v>4</v>
      </c>
      <c r="C63" s="25" t="s">
        <v>48</v>
      </c>
      <c r="D63" s="26">
        <v>4</v>
      </c>
      <c r="E63" s="27">
        <v>3</v>
      </c>
      <c r="F63" s="27"/>
      <c r="G63" s="27"/>
      <c r="H63" s="27"/>
      <c r="I63" s="27"/>
    </row>
    <row r="64" spans="1:9" ht="15" customHeight="1">
      <c r="A64" s="53" t="s">
        <v>55</v>
      </c>
      <c r="B64" s="29">
        <v>5</v>
      </c>
      <c r="C64" s="25" t="s">
        <v>87</v>
      </c>
      <c r="D64" s="26">
        <v>4</v>
      </c>
      <c r="E64" s="27">
        <v>3</v>
      </c>
      <c r="F64" s="27"/>
      <c r="G64" s="27"/>
      <c r="H64" s="27"/>
      <c r="I64" s="27">
        <f>E60+E61+E62+E63+E64</f>
        <v>22</v>
      </c>
    </row>
    <row r="65" spans="1:9" ht="32.25" customHeight="1">
      <c r="A65" s="54" t="s">
        <v>7</v>
      </c>
      <c r="B65" s="29">
        <v>1</v>
      </c>
      <c r="C65" s="25" t="s">
        <v>32</v>
      </c>
      <c r="D65" s="26">
        <v>28</v>
      </c>
      <c r="E65" s="27">
        <v>16</v>
      </c>
      <c r="F65" s="27"/>
      <c r="G65" s="27"/>
      <c r="H65" s="27"/>
      <c r="I65" s="27"/>
    </row>
    <row r="66" spans="1:9" ht="39" customHeight="1">
      <c r="A66" s="54" t="s">
        <v>7</v>
      </c>
      <c r="B66" s="29">
        <v>2</v>
      </c>
      <c r="C66" s="25" t="s">
        <v>49</v>
      </c>
      <c r="D66" s="26">
        <v>2</v>
      </c>
      <c r="E66" s="27">
        <v>2</v>
      </c>
      <c r="F66" s="27"/>
      <c r="G66" s="27"/>
      <c r="H66" s="27"/>
      <c r="I66" s="27">
        <f>SUM(E65+E66)</f>
        <v>18</v>
      </c>
    </row>
    <row r="67" spans="1:9" ht="37.5" customHeight="1">
      <c r="A67" s="55" t="s">
        <v>8</v>
      </c>
      <c r="B67" s="29">
        <v>1</v>
      </c>
      <c r="C67" s="25" t="s">
        <v>33</v>
      </c>
      <c r="D67" s="26">
        <v>28</v>
      </c>
      <c r="E67" s="27">
        <v>16</v>
      </c>
      <c r="F67" s="27"/>
      <c r="G67" s="27"/>
      <c r="H67" s="27"/>
      <c r="I67" s="27"/>
    </row>
    <row r="68" spans="1:9" ht="33" customHeight="1">
      <c r="A68" s="55" t="s">
        <v>8</v>
      </c>
      <c r="B68" s="29">
        <v>2</v>
      </c>
      <c r="C68" s="25" t="s">
        <v>50</v>
      </c>
      <c r="D68" s="26">
        <v>2</v>
      </c>
      <c r="E68" s="27">
        <v>2</v>
      </c>
      <c r="F68" s="27"/>
      <c r="G68" s="27"/>
      <c r="H68" s="27"/>
      <c r="I68" s="27">
        <f>SUM(E67+E68)</f>
        <v>18</v>
      </c>
    </row>
  </sheetData>
  <mergeCells count="4">
    <mergeCell ref="A4:I4"/>
    <mergeCell ref="A3:I3"/>
    <mergeCell ref="A9:H9"/>
    <mergeCell ref="A6:K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C7AA-691E-4F0D-8E6B-5CAE93DB77F1}">
  <dimension ref="A1:R85"/>
  <sheetViews>
    <sheetView zoomScale="85" zoomScaleNormal="85" zoomScaleSheetLayoutView="70" workbookViewId="0">
      <selection activeCell="N17" sqref="N17"/>
    </sheetView>
  </sheetViews>
  <sheetFormatPr baseColWidth="10" defaultRowHeight="15"/>
  <cols>
    <col min="1" max="1" width="21" customWidth="1"/>
    <col min="2" max="2" width="6.140625" customWidth="1"/>
    <col min="3" max="3" width="56.28515625" customWidth="1"/>
    <col min="4" max="4" width="7" customWidth="1"/>
    <col min="5" max="5" width="6.85546875" customWidth="1"/>
    <col min="6" max="6" width="7.85546875" customWidth="1"/>
    <col min="7" max="7" width="7.7109375" customWidth="1"/>
    <col min="8" max="8" width="9.42578125" customWidth="1"/>
    <col min="9" max="9" width="30.5703125" customWidth="1"/>
    <col min="12" max="12" width="11.42578125" customWidth="1"/>
  </cols>
  <sheetData>
    <row r="1" spans="1:11" ht="19.149999999999999" customHeight="1">
      <c r="C1" s="21"/>
    </row>
    <row r="2" spans="1:11" ht="19.149999999999999" customHeight="1">
      <c r="A2" s="11"/>
      <c r="B2" s="15"/>
      <c r="C2" s="20"/>
      <c r="D2" s="17"/>
      <c r="E2" s="17"/>
      <c r="F2" s="17"/>
      <c r="G2" s="17"/>
    </row>
    <row r="3" spans="1:11" ht="36.75" customHeight="1">
      <c r="A3" s="75" t="s">
        <v>171</v>
      </c>
      <c r="B3" s="75"/>
      <c r="C3" s="75"/>
      <c r="D3" s="75"/>
      <c r="E3" s="75"/>
      <c r="F3" s="75"/>
      <c r="G3" s="75"/>
      <c r="H3" s="75"/>
      <c r="I3" s="75"/>
      <c r="J3" s="82"/>
      <c r="K3" s="82"/>
    </row>
    <row r="4" spans="1:11" ht="33" customHeight="1">
      <c r="A4" s="76" t="s">
        <v>170</v>
      </c>
      <c r="B4" s="76"/>
      <c r="C4" s="76"/>
      <c r="D4" s="76"/>
      <c r="E4" s="76"/>
      <c r="F4" s="76"/>
      <c r="G4" s="76"/>
      <c r="H4" s="76"/>
      <c r="I4" s="76"/>
      <c r="J4" s="81"/>
      <c r="K4" s="81"/>
    </row>
    <row r="5" spans="1:11" ht="19.149999999999999" customHeight="1"/>
    <row r="6" spans="1:11" ht="36.75" customHeight="1">
      <c r="A6" s="77" t="s">
        <v>168</v>
      </c>
      <c r="B6" s="74"/>
      <c r="C6" s="74"/>
      <c r="D6" s="74"/>
      <c r="E6" s="74"/>
      <c r="F6" s="74"/>
      <c r="G6" s="74"/>
      <c r="H6" s="74"/>
      <c r="I6" s="74"/>
      <c r="J6" s="74"/>
      <c r="K6" s="74"/>
    </row>
    <row r="7" spans="1:11" ht="19.149999999999999" customHeight="1">
      <c r="A7" s="11"/>
      <c r="B7" s="15"/>
      <c r="C7" s="20"/>
      <c r="D7" s="17"/>
      <c r="E7" s="17"/>
      <c r="F7" s="17"/>
      <c r="G7" s="17"/>
    </row>
    <row r="8" spans="1:11" ht="2.25" customHeight="1">
      <c r="A8" s="11"/>
      <c r="B8" s="15"/>
      <c r="C8" s="20"/>
      <c r="D8" s="17"/>
      <c r="E8" s="17"/>
      <c r="F8" s="17"/>
      <c r="G8" s="17"/>
    </row>
    <row r="9" spans="1:11" ht="38.25" customHeight="1">
      <c r="A9" s="78" t="s">
        <v>169</v>
      </c>
      <c r="B9" s="78"/>
      <c r="C9" s="78"/>
      <c r="D9" s="78"/>
      <c r="E9" s="78"/>
      <c r="F9" s="78"/>
      <c r="G9" s="78"/>
      <c r="H9" s="78"/>
      <c r="I9" s="79"/>
      <c r="J9" s="80"/>
      <c r="K9" s="80"/>
    </row>
    <row r="10" spans="1:11" ht="19.149999999999999" customHeight="1"/>
    <row r="11" spans="1:11" ht="19.149999999999999" customHeight="1"/>
    <row r="12" spans="1:11" ht="19.149999999999999" customHeight="1">
      <c r="A12" s="11"/>
      <c r="B12" s="15"/>
      <c r="C12" s="74" t="s">
        <v>161</v>
      </c>
      <c r="D12" s="74"/>
      <c r="E12" s="74"/>
      <c r="F12" s="74"/>
      <c r="G12" s="17"/>
    </row>
    <row r="13" spans="1:11" ht="19.149999999999999" customHeight="1">
      <c r="A13" s="11"/>
      <c r="B13" s="15"/>
      <c r="D13" s="17"/>
      <c r="E13" s="17"/>
      <c r="F13" s="17"/>
      <c r="G13" s="17"/>
    </row>
    <row r="14" spans="1:11" ht="19.149999999999999" customHeight="1">
      <c r="A14" s="5" t="s">
        <v>167</v>
      </c>
      <c r="B14" s="5" t="s">
        <v>108</v>
      </c>
      <c r="C14" s="5" t="s">
        <v>0</v>
      </c>
      <c r="D14" s="5" t="s">
        <v>10</v>
      </c>
      <c r="E14" s="5" t="s">
        <v>1</v>
      </c>
      <c r="F14" s="5" t="s">
        <v>2</v>
      </c>
      <c r="G14" s="5" t="s">
        <v>3</v>
      </c>
      <c r="H14" s="5" t="s">
        <v>4</v>
      </c>
      <c r="I14" s="5" t="s">
        <v>5</v>
      </c>
      <c r="J14" s="4"/>
    </row>
    <row r="15" spans="1:11" ht="19.149999999999999" customHeight="1">
      <c r="A15" s="56" t="s">
        <v>56</v>
      </c>
      <c r="B15" s="7">
        <v>1</v>
      </c>
      <c r="C15" s="8" t="s">
        <v>57</v>
      </c>
      <c r="D15" s="9">
        <v>4</v>
      </c>
      <c r="E15" s="6">
        <v>3</v>
      </c>
      <c r="F15" s="6"/>
      <c r="G15" s="6"/>
      <c r="H15" s="6"/>
      <c r="I15" s="6"/>
      <c r="J15" s="4"/>
    </row>
    <row r="16" spans="1:11" ht="19.149999999999999" customHeight="1">
      <c r="A16" s="56" t="s">
        <v>56</v>
      </c>
      <c r="B16" s="7">
        <v>2</v>
      </c>
      <c r="C16" s="8" t="s">
        <v>90</v>
      </c>
      <c r="D16" s="9">
        <v>4</v>
      </c>
      <c r="E16" s="6">
        <v>3</v>
      </c>
      <c r="F16" s="6"/>
      <c r="G16" s="6"/>
      <c r="H16" s="6"/>
      <c r="I16" s="6"/>
      <c r="J16" s="4"/>
    </row>
    <row r="17" spans="1:18" ht="19.149999999999999" customHeight="1">
      <c r="A17" s="56" t="s">
        <v>56</v>
      </c>
      <c r="B17" s="7">
        <v>3</v>
      </c>
      <c r="C17" s="8" t="s">
        <v>20</v>
      </c>
      <c r="D17" s="9">
        <v>4</v>
      </c>
      <c r="E17" s="6">
        <v>3</v>
      </c>
      <c r="F17" s="6"/>
      <c r="G17" s="6"/>
      <c r="H17" s="6"/>
      <c r="I17" s="6"/>
      <c r="J17" s="4"/>
    </row>
    <row r="18" spans="1:18" ht="19.149999999999999" customHeight="1">
      <c r="A18" s="56" t="s">
        <v>56</v>
      </c>
      <c r="B18" s="7">
        <v>4</v>
      </c>
      <c r="C18" s="8" t="s">
        <v>88</v>
      </c>
      <c r="D18" s="9">
        <v>6</v>
      </c>
      <c r="E18" s="6">
        <v>5</v>
      </c>
      <c r="F18" s="6"/>
      <c r="G18" s="6"/>
      <c r="H18" s="6"/>
      <c r="I18" s="6"/>
      <c r="J18" s="4"/>
    </row>
    <row r="19" spans="1:18" ht="19.149999999999999" customHeight="1">
      <c r="A19" s="56" t="s">
        <v>56</v>
      </c>
      <c r="B19" s="7">
        <v>5</v>
      </c>
      <c r="C19" s="8" t="s">
        <v>93</v>
      </c>
      <c r="D19" s="9">
        <v>6</v>
      </c>
      <c r="E19" s="6">
        <v>5</v>
      </c>
      <c r="F19" s="6"/>
      <c r="G19" s="6"/>
      <c r="H19" s="6"/>
      <c r="I19" s="6"/>
      <c r="J19" s="4"/>
    </row>
    <row r="20" spans="1:18" ht="19.149999999999999" customHeight="1">
      <c r="A20" s="56" t="s">
        <v>56</v>
      </c>
      <c r="B20" s="7">
        <v>6</v>
      </c>
      <c r="C20" s="8" t="s">
        <v>95</v>
      </c>
      <c r="D20" s="9">
        <v>6</v>
      </c>
      <c r="E20" s="6">
        <v>5</v>
      </c>
      <c r="F20" s="6"/>
      <c r="G20" s="6"/>
      <c r="H20" s="6"/>
      <c r="I20" s="6">
        <f>SUM(E15+E16+E17+E18+E19+E20)</f>
        <v>24</v>
      </c>
      <c r="J20" s="4"/>
    </row>
    <row r="21" spans="1:18" ht="19.149999999999999" customHeight="1">
      <c r="A21" s="56" t="s">
        <v>51</v>
      </c>
      <c r="B21" s="7">
        <v>1</v>
      </c>
      <c r="C21" s="8" t="s">
        <v>19</v>
      </c>
      <c r="D21" s="9">
        <v>4</v>
      </c>
      <c r="E21" s="6">
        <v>3</v>
      </c>
      <c r="F21" s="6"/>
      <c r="G21" s="6"/>
      <c r="H21" s="6"/>
      <c r="I21" s="6"/>
      <c r="J21" s="4"/>
    </row>
    <row r="22" spans="1:18" ht="19.149999999999999" customHeight="1">
      <c r="A22" s="56" t="s">
        <v>51</v>
      </c>
      <c r="B22" s="7">
        <v>2</v>
      </c>
      <c r="C22" s="8" t="s">
        <v>12</v>
      </c>
      <c r="D22" s="9">
        <v>4</v>
      </c>
      <c r="E22" s="6">
        <v>3</v>
      </c>
      <c r="F22" s="6"/>
      <c r="G22" s="6"/>
      <c r="H22" s="6"/>
      <c r="I22" s="6"/>
      <c r="J22" s="4"/>
    </row>
    <row r="23" spans="1:18" ht="19.149999999999999" customHeight="1">
      <c r="A23" s="56" t="s">
        <v>51</v>
      </c>
      <c r="B23" s="7">
        <v>3</v>
      </c>
      <c r="C23" s="8" t="s">
        <v>22</v>
      </c>
      <c r="D23" s="9">
        <v>4</v>
      </c>
      <c r="E23" s="6">
        <v>3</v>
      </c>
      <c r="F23" s="6"/>
      <c r="G23" s="6"/>
      <c r="H23" s="6"/>
      <c r="I23" s="6"/>
      <c r="J23" s="4"/>
    </row>
    <row r="24" spans="1:18" ht="19.149999999999999" customHeight="1">
      <c r="A24" s="56" t="s">
        <v>51</v>
      </c>
      <c r="B24" s="7">
        <v>4</v>
      </c>
      <c r="C24" s="8" t="s">
        <v>25</v>
      </c>
      <c r="D24" s="9">
        <v>6</v>
      </c>
      <c r="E24" s="6">
        <v>5</v>
      </c>
      <c r="F24" s="6"/>
      <c r="G24" s="6"/>
      <c r="H24" s="6"/>
      <c r="I24" s="6"/>
      <c r="J24" s="4"/>
    </row>
    <row r="25" spans="1:18" ht="19.149999999999999" customHeight="1">
      <c r="A25" s="56" t="s">
        <v>51</v>
      </c>
      <c r="B25" s="7">
        <v>5</v>
      </c>
      <c r="C25" s="8" t="s">
        <v>94</v>
      </c>
      <c r="D25" s="9">
        <v>6</v>
      </c>
      <c r="E25" s="6">
        <v>5</v>
      </c>
      <c r="F25" s="6"/>
      <c r="G25" s="6"/>
      <c r="H25" s="6"/>
      <c r="I25" s="6"/>
      <c r="J25" s="4"/>
    </row>
    <row r="26" spans="1:18" ht="19.149999999999999" customHeight="1">
      <c r="A26" s="56" t="s">
        <v>51</v>
      </c>
      <c r="B26" s="7">
        <v>6</v>
      </c>
      <c r="C26" s="8" t="s">
        <v>130</v>
      </c>
      <c r="D26" s="9">
        <v>6</v>
      </c>
      <c r="E26" s="6">
        <v>5</v>
      </c>
      <c r="F26" s="6"/>
      <c r="G26" s="6"/>
      <c r="H26" s="6"/>
      <c r="I26" s="6">
        <f>SUM(E21+E22+E23+E24+E25+E26)</f>
        <v>24</v>
      </c>
      <c r="J26" s="4"/>
    </row>
    <row r="27" spans="1:18" ht="19.149999999999999" customHeight="1">
      <c r="A27" s="56" t="s">
        <v>52</v>
      </c>
      <c r="B27" s="7">
        <v>1</v>
      </c>
      <c r="C27" s="8" t="s">
        <v>13</v>
      </c>
      <c r="D27" s="9">
        <v>4</v>
      </c>
      <c r="E27" s="6">
        <v>3</v>
      </c>
      <c r="F27" s="6"/>
      <c r="G27" s="6"/>
      <c r="H27" s="6"/>
      <c r="I27" s="6"/>
      <c r="J27" s="4"/>
    </row>
    <row r="28" spans="1:18" ht="19.149999999999999" customHeight="1">
      <c r="A28" s="56" t="s">
        <v>52</v>
      </c>
      <c r="B28" s="7">
        <v>2</v>
      </c>
      <c r="C28" s="8" t="s">
        <v>142</v>
      </c>
      <c r="D28" s="9">
        <v>4</v>
      </c>
      <c r="E28" s="6">
        <v>3</v>
      </c>
      <c r="F28" s="6"/>
      <c r="G28" s="6"/>
      <c r="H28" s="6"/>
      <c r="I28" s="6"/>
      <c r="J28" s="4"/>
    </row>
    <row r="29" spans="1:18" ht="19.149999999999999" customHeight="1">
      <c r="A29" s="56" t="s">
        <v>52</v>
      </c>
      <c r="B29" s="7">
        <v>3</v>
      </c>
      <c r="C29" s="8" t="s">
        <v>21</v>
      </c>
      <c r="D29" s="9">
        <v>4</v>
      </c>
      <c r="E29" s="6">
        <v>3</v>
      </c>
      <c r="F29" s="6"/>
      <c r="G29" s="6"/>
      <c r="H29" s="6"/>
      <c r="I29" s="6"/>
      <c r="J29" s="4"/>
    </row>
    <row r="30" spans="1:18" ht="19.149999999999999" customHeight="1">
      <c r="A30" s="56" t="s">
        <v>52</v>
      </c>
      <c r="B30" s="7">
        <v>4</v>
      </c>
      <c r="C30" s="8" t="s">
        <v>26</v>
      </c>
      <c r="D30" s="9">
        <v>6</v>
      </c>
      <c r="E30" s="6">
        <v>5</v>
      </c>
      <c r="F30" s="6"/>
      <c r="G30" s="6"/>
      <c r="H30" s="6"/>
      <c r="I30" s="6"/>
      <c r="J30" s="12"/>
      <c r="K30" s="12"/>
      <c r="L30" s="12"/>
      <c r="M30" s="12"/>
      <c r="N30" s="12"/>
      <c r="O30" s="12"/>
      <c r="P30" s="12"/>
      <c r="Q30" s="12"/>
      <c r="R30" s="13"/>
    </row>
    <row r="31" spans="1:18" ht="19.149999999999999" customHeight="1">
      <c r="A31" s="56" t="s">
        <v>52</v>
      </c>
      <c r="B31" s="7">
        <v>5</v>
      </c>
      <c r="C31" s="8" t="s">
        <v>96</v>
      </c>
      <c r="D31" s="9">
        <v>4</v>
      </c>
      <c r="E31" s="6">
        <v>3</v>
      </c>
      <c r="F31" s="6"/>
      <c r="G31" s="6"/>
      <c r="H31" s="6"/>
      <c r="I31" s="6"/>
      <c r="J31" s="68"/>
      <c r="K31" s="14"/>
      <c r="L31" s="11"/>
      <c r="M31" s="15"/>
      <c r="N31" s="16"/>
      <c r="O31" s="17"/>
      <c r="P31" s="17"/>
      <c r="Q31" s="17"/>
      <c r="R31" s="17"/>
    </row>
    <row r="32" spans="1:18" ht="19.149999999999999" customHeight="1">
      <c r="A32" s="56" t="s">
        <v>52</v>
      </c>
      <c r="B32" s="7">
        <v>6</v>
      </c>
      <c r="C32" s="8" t="s">
        <v>136</v>
      </c>
      <c r="D32" s="9">
        <v>4</v>
      </c>
      <c r="E32" s="6">
        <v>3</v>
      </c>
      <c r="F32" s="6"/>
      <c r="G32" s="6"/>
      <c r="H32" s="6"/>
      <c r="I32" s="6"/>
      <c r="J32" s="68"/>
      <c r="K32" s="14"/>
      <c r="L32" s="11"/>
      <c r="M32" s="15"/>
      <c r="N32" s="16"/>
      <c r="O32" s="17"/>
      <c r="P32" s="17"/>
      <c r="Q32" s="17"/>
      <c r="R32" s="17"/>
    </row>
    <row r="33" spans="1:18" ht="19.149999999999999" customHeight="1">
      <c r="A33" s="56" t="s">
        <v>52</v>
      </c>
      <c r="B33" s="7">
        <v>7</v>
      </c>
      <c r="C33" s="8" t="s">
        <v>82</v>
      </c>
      <c r="D33" s="9">
        <v>4</v>
      </c>
      <c r="E33" s="6">
        <v>3</v>
      </c>
      <c r="F33" s="6"/>
      <c r="G33" s="6"/>
      <c r="H33" s="6"/>
      <c r="I33" s="6">
        <f>SUM(E29+E27+E28+E30+E31+E32+E33)</f>
        <v>23</v>
      </c>
      <c r="J33" s="68"/>
      <c r="K33" s="14"/>
      <c r="L33" s="11"/>
      <c r="M33" s="15"/>
      <c r="N33" s="16"/>
      <c r="O33" s="17"/>
      <c r="P33" s="17"/>
      <c r="Q33" s="17"/>
      <c r="R33" s="17"/>
    </row>
    <row r="34" spans="1:18" ht="19.149999999999999" customHeight="1">
      <c r="A34" s="56" t="s">
        <v>53</v>
      </c>
      <c r="B34" s="7">
        <v>1</v>
      </c>
      <c r="C34" s="8" t="s">
        <v>141</v>
      </c>
      <c r="D34" s="9">
        <v>4</v>
      </c>
      <c r="E34" s="6">
        <v>3</v>
      </c>
      <c r="F34" s="6"/>
      <c r="G34" s="6"/>
      <c r="H34" s="6"/>
      <c r="I34" s="6"/>
      <c r="J34" s="68"/>
      <c r="K34" s="14"/>
      <c r="L34" s="11"/>
      <c r="M34" s="15"/>
      <c r="N34" s="16"/>
      <c r="O34" s="17"/>
      <c r="P34" s="17"/>
      <c r="Q34" s="17"/>
      <c r="R34" s="17"/>
    </row>
    <row r="35" spans="1:18" ht="19.149999999999999" customHeight="1">
      <c r="A35" s="56" t="s">
        <v>53</v>
      </c>
      <c r="B35" s="7">
        <v>2</v>
      </c>
      <c r="C35" s="8" t="s">
        <v>14</v>
      </c>
      <c r="D35" s="9">
        <v>4</v>
      </c>
      <c r="E35" s="6">
        <v>3</v>
      </c>
      <c r="F35" s="6"/>
      <c r="G35" s="6"/>
      <c r="H35" s="6"/>
      <c r="I35" s="6"/>
      <c r="J35" s="68"/>
      <c r="K35" s="14"/>
      <c r="L35" s="11"/>
      <c r="M35" s="15"/>
      <c r="N35" s="16"/>
      <c r="O35" s="17"/>
      <c r="P35" s="17"/>
      <c r="Q35" s="17"/>
      <c r="R35" s="17"/>
    </row>
    <row r="36" spans="1:18" ht="19.149999999999999" customHeight="1">
      <c r="A36" s="56" t="s">
        <v>53</v>
      </c>
      <c r="B36" s="7">
        <v>3</v>
      </c>
      <c r="C36" s="8" t="s">
        <v>23</v>
      </c>
      <c r="D36" s="9">
        <v>4</v>
      </c>
      <c r="E36" s="6">
        <v>3</v>
      </c>
      <c r="F36" s="6"/>
      <c r="G36" s="6"/>
      <c r="H36" s="6"/>
      <c r="I36" s="6"/>
      <c r="J36" s="68"/>
      <c r="K36" s="14"/>
      <c r="L36" s="11"/>
      <c r="M36" s="15"/>
      <c r="N36" s="16"/>
      <c r="O36" s="17"/>
      <c r="P36" s="17"/>
      <c r="Q36" s="17"/>
      <c r="R36" s="17"/>
    </row>
    <row r="37" spans="1:18" ht="19.149999999999999" customHeight="1">
      <c r="A37" s="56" t="s">
        <v>53</v>
      </c>
      <c r="B37" s="7">
        <v>4</v>
      </c>
      <c r="C37" s="8" t="s">
        <v>27</v>
      </c>
      <c r="D37" s="9">
        <v>6</v>
      </c>
      <c r="E37" s="6">
        <v>5</v>
      </c>
      <c r="F37" s="6"/>
      <c r="G37" s="6"/>
      <c r="H37" s="6"/>
      <c r="I37" s="6"/>
      <c r="J37" s="68"/>
      <c r="K37" s="14"/>
      <c r="L37" s="11"/>
      <c r="M37" s="15"/>
      <c r="N37" s="16"/>
      <c r="O37" s="17"/>
      <c r="P37" s="17"/>
      <c r="Q37" s="17"/>
      <c r="R37" s="17"/>
    </row>
    <row r="38" spans="1:18" ht="19.149999999999999" customHeight="1">
      <c r="A38" s="56" t="s">
        <v>53</v>
      </c>
      <c r="B38" s="7">
        <v>5</v>
      </c>
      <c r="C38" s="8" t="s">
        <v>137</v>
      </c>
      <c r="D38" s="9">
        <v>4</v>
      </c>
      <c r="E38" s="6">
        <v>3</v>
      </c>
      <c r="F38" s="6"/>
      <c r="G38" s="6"/>
      <c r="H38" s="6"/>
      <c r="I38" s="6"/>
      <c r="J38" s="68"/>
      <c r="K38" s="14"/>
      <c r="L38" s="11"/>
      <c r="M38" s="15"/>
      <c r="N38" s="16"/>
      <c r="O38" s="17"/>
      <c r="P38" s="17"/>
      <c r="Q38" s="17"/>
      <c r="R38" s="17"/>
    </row>
    <row r="39" spans="1:18" ht="19.149999999999999" customHeight="1">
      <c r="A39" s="56" t="s">
        <v>53</v>
      </c>
      <c r="B39" s="7">
        <v>6</v>
      </c>
      <c r="C39" s="8" t="s">
        <v>99</v>
      </c>
      <c r="D39" s="9">
        <v>4</v>
      </c>
      <c r="E39" s="6">
        <v>3</v>
      </c>
      <c r="F39" s="6"/>
      <c r="G39" s="6"/>
      <c r="H39" s="6"/>
      <c r="I39" s="6"/>
      <c r="J39" s="68"/>
      <c r="K39" s="14"/>
      <c r="L39" s="11"/>
      <c r="M39" s="15"/>
      <c r="N39" s="16"/>
      <c r="O39" s="17"/>
      <c r="P39" s="17"/>
      <c r="Q39" s="17"/>
      <c r="R39" s="17"/>
    </row>
    <row r="40" spans="1:18" ht="19.149999999999999" customHeight="1">
      <c r="A40" s="56" t="s">
        <v>53</v>
      </c>
      <c r="B40" s="7">
        <v>7</v>
      </c>
      <c r="C40" s="8" t="s">
        <v>83</v>
      </c>
      <c r="D40" s="9">
        <v>4</v>
      </c>
      <c r="E40" s="6">
        <v>3</v>
      </c>
      <c r="F40" s="6"/>
      <c r="G40" s="6"/>
      <c r="H40" s="6"/>
      <c r="I40" s="6">
        <f>SUM(E34+E35+E36+E37+E38+E39+E40)</f>
        <v>23</v>
      </c>
      <c r="J40" s="68"/>
      <c r="K40" s="14"/>
      <c r="L40" s="11"/>
      <c r="M40" s="15"/>
      <c r="N40" s="16"/>
      <c r="O40" s="17"/>
      <c r="P40" s="17"/>
      <c r="Q40" s="17"/>
      <c r="R40" s="17"/>
    </row>
    <row r="41" spans="1:18" ht="19.149999999999999" customHeight="1">
      <c r="A41" s="56" t="s">
        <v>159</v>
      </c>
      <c r="B41" s="7">
        <v>1</v>
      </c>
      <c r="C41" s="8" t="s">
        <v>140</v>
      </c>
      <c r="D41" s="9">
        <v>4</v>
      </c>
      <c r="E41" s="6">
        <v>3</v>
      </c>
      <c r="F41" s="6"/>
      <c r="G41" s="6"/>
      <c r="H41" s="6"/>
      <c r="I41" s="6"/>
      <c r="J41" s="68"/>
      <c r="K41" s="14"/>
      <c r="L41" s="11"/>
      <c r="M41" s="15"/>
      <c r="N41" s="16"/>
      <c r="O41" s="17"/>
      <c r="P41" s="17"/>
      <c r="Q41" s="17"/>
      <c r="R41" s="17"/>
    </row>
    <row r="42" spans="1:18" ht="19.149999999999999" customHeight="1">
      <c r="A42" s="56" t="s">
        <v>159</v>
      </c>
      <c r="B42" s="7">
        <v>2</v>
      </c>
      <c r="C42" s="8" t="s">
        <v>15</v>
      </c>
      <c r="D42" s="9">
        <v>4</v>
      </c>
      <c r="E42" s="6">
        <v>3</v>
      </c>
      <c r="F42" s="6"/>
      <c r="G42" s="6"/>
      <c r="H42" s="6"/>
      <c r="I42" s="6"/>
      <c r="J42" s="68"/>
      <c r="K42" s="14"/>
      <c r="L42" s="11"/>
      <c r="M42" s="15"/>
      <c r="N42" s="16"/>
      <c r="O42" s="17"/>
      <c r="P42" s="17"/>
      <c r="Q42" s="17"/>
      <c r="R42" s="17"/>
    </row>
    <row r="43" spans="1:18" ht="19.149999999999999" customHeight="1">
      <c r="A43" s="56" t="s">
        <v>159</v>
      </c>
      <c r="B43" s="7">
        <v>3</v>
      </c>
      <c r="C43" s="8" t="s">
        <v>28</v>
      </c>
      <c r="D43" s="9">
        <v>6</v>
      </c>
      <c r="E43" s="6">
        <v>5</v>
      </c>
      <c r="F43" s="6"/>
      <c r="G43" s="6"/>
      <c r="H43" s="6"/>
      <c r="I43" s="6"/>
      <c r="J43" s="68"/>
      <c r="K43" s="14"/>
      <c r="L43" s="11"/>
      <c r="M43" s="15"/>
      <c r="N43" s="16"/>
      <c r="O43" s="17"/>
      <c r="P43" s="17"/>
      <c r="Q43" s="17"/>
      <c r="R43" s="17"/>
    </row>
    <row r="44" spans="1:18" ht="19.149999999999999" customHeight="1">
      <c r="A44" s="56" t="s">
        <v>159</v>
      </c>
      <c r="B44" s="7">
        <v>4</v>
      </c>
      <c r="C44" s="8" t="s">
        <v>97</v>
      </c>
      <c r="D44" s="9">
        <v>4</v>
      </c>
      <c r="E44" s="6">
        <v>3</v>
      </c>
      <c r="F44" s="6"/>
      <c r="G44" s="6"/>
      <c r="H44" s="6"/>
      <c r="I44" s="6"/>
      <c r="J44" s="68"/>
      <c r="K44" s="14"/>
      <c r="L44" s="11"/>
      <c r="M44" s="15"/>
      <c r="N44" s="16"/>
      <c r="O44" s="17"/>
      <c r="P44" s="17"/>
      <c r="Q44" s="17"/>
      <c r="R44" s="17"/>
    </row>
    <row r="45" spans="1:18" ht="18" customHeight="1">
      <c r="A45" s="56" t="s">
        <v>159</v>
      </c>
      <c r="B45" s="7">
        <v>5</v>
      </c>
      <c r="C45" s="8" t="s">
        <v>138</v>
      </c>
      <c r="D45" s="9">
        <v>4</v>
      </c>
      <c r="E45" s="6">
        <v>3</v>
      </c>
      <c r="F45" s="6"/>
      <c r="G45" s="6"/>
      <c r="H45" s="6"/>
      <c r="I45" s="6"/>
      <c r="J45" s="68"/>
      <c r="K45" s="14"/>
      <c r="L45" s="11"/>
      <c r="M45" s="15"/>
      <c r="N45" s="16"/>
      <c r="O45" s="17"/>
      <c r="P45" s="17"/>
      <c r="Q45" s="17"/>
      <c r="R45" s="17"/>
    </row>
    <row r="46" spans="1:18" ht="18" customHeight="1">
      <c r="A46" s="56" t="s">
        <v>159</v>
      </c>
      <c r="B46" s="7">
        <v>6</v>
      </c>
      <c r="C46" s="8" t="s">
        <v>106</v>
      </c>
      <c r="D46" s="9">
        <v>4</v>
      </c>
      <c r="E46" s="6">
        <v>3</v>
      </c>
      <c r="F46" s="6"/>
      <c r="G46" s="6"/>
      <c r="H46" s="6"/>
      <c r="I46" s="6"/>
      <c r="J46" s="68"/>
      <c r="K46" s="14"/>
      <c r="L46" s="11"/>
      <c r="M46" s="15"/>
      <c r="N46" s="16"/>
      <c r="O46" s="17"/>
      <c r="P46" s="17"/>
      <c r="Q46" s="17"/>
      <c r="R46" s="17"/>
    </row>
    <row r="47" spans="1:18" ht="21.6" customHeight="1">
      <c r="A47" s="56" t="s">
        <v>159</v>
      </c>
      <c r="B47" s="7">
        <v>7</v>
      </c>
      <c r="C47" s="8" t="s">
        <v>84</v>
      </c>
      <c r="D47" s="9">
        <v>4</v>
      </c>
      <c r="E47" s="6">
        <v>3</v>
      </c>
      <c r="F47" s="6"/>
      <c r="G47" s="6"/>
      <c r="H47" s="6"/>
      <c r="I47" s="6">
        <f>SUM(E41+E42+E43+E44+E45+E46+E47)</f>
        <v>23</v>
      </c>
      <c r="J47" s="68"/>
      <c r="K47" s="14"/>
      <c r="L47" s="11"/>
      <c r="M47" s="15"/>
      <c r="N47" s="16"/>
      <c r="O47" s="17"/>
      <c r="P47" s="17"/>
      <c r="Q47" s="17"/>
      <c r="R47" s="17"/>
    </row>
    <row r="48" spans="1:18" ht="28.15" customHeight="1">
      <c r="A48" s="56" t="s">
        <v>158</v>
      </c>
      <c r="B48" s="7">
        <v>1</v>
      </c>
      <c r="C48" s="8" t="s">
        <v>139</v>
      </c>
      <c r="D48" s="9">
        <v>4</v>
      </c>
      <c r="E48" s="6">
        <v>3</v>
      </c>
      <c r="F48" s="6"/>
      <c r="G48" s="6"/>
      <c r="H48" s="6"/>
      <c r="I48" s="6"/>
      <c r="J48" s="68"/>
      <c r="K48" s="14"/>
      <c r="L48" s="11"/>
      <c r="M48" s="15"/>
      <c r="N48" s="16"/>
      <c r="O48" s="17"/>
      <c r="P48" s="17"/>
      <c r="Q48" s="17"/>
      <c r="R48" s="17"/>
    </row>
    <row r="49" spans="1:18" ht="19.899999999999999" customHeight="1">
      <c r="A49" s="56" t="s">
        <v>158</v>
      </c>
      <c r="B49" s="7">
        <v>2</v>
      </c>
      <c r="C49" s="8" t="s">
        <v>16</v>
      </c>
      <c r="D49" s="9">
        <v>4</v>
      </c>
      <c r="E49" s="6">
        <v>3</v>
      </c>
      <c r="F49" s="6"/>
      <c r="G49" s="6"/>
      <c r="H49" s="6"/>
      <c r="I49" s="6"/>
      <c r="J49" s="68"/>
      <c r="K49" s="14"/>
      <c r="L49" s="11"/>
      <c r="M49" s="15"/>
      <c r="N49" s="16"/>
      <c r="O49" s="17"/>
      <c r="P49" s="17"/>
      <c r="Q49" s="17"/>
      <c r="R49" s="17"/>
    </row>
    <row r="50" spans="1:18" ht="19.899999999999999" customHeight="1">
      <c r="A50" s="56" t="s">
        <v>158</v>
      </c>
      <c r="B50" s="7">
        <v>3</v>
      </c>
      <c r="C50" s="8" t="s">
        <v>29</v>
      </c>
      <c r="D50" s="9">
        <v>6</v>
      </c>
      <c r="E50" s="6">
        <v>5</v>
      </c>
      <c r="F50" s="6"/>
      <c r="G50" s="6"/>
      <c r="H50" s="6"/>
      <c r="I50" s="6"/>
      <c r="J50" s="68"/>
      <c r="K50" s="14"/>
      <c r="L50" s="11"/>
      <c r="M50" s="15"/>
      <c r="N50" s="16"/>
      <c r="O50" s="17"/>
      <c r="P50" s="17"/>
      <c r="Q50" s="17"/>
      <c r="R50" s="17"/>
    </row>
    <row r="51" spans="1:18" ht="19.899999999999999" customHeight="1">
      <c r="A51" s="56" t="s">
        <v>158</v>
      </c>
      <c r="B51" s="7">
        <v>4</v>
      </c>
      <c r="C51" s="8" t="s">
        <v>100</v>
      </c>
      <c r="D51" s="9">
        <v>4</v>
      </c>
      <c r="E51" s="6">
        <v>3</v>
      </c>
      <c r="F51" s="6"/>
      <c r="G51" s="6"/>
      <c r="H51" s="6"/>
      <c r="I51" s="6"/>
      <c r="J51" s="68"/>
      <c r="K51" s="14"/>
      <c r="L51" s="11"/>
      <c r="M51" s="15"/>
      <c r="N51" s="16"/>
      <c r="O51" s="17"/>
      <c r="P51" s="17"/>
      <c r="Q51" s="17"/>
      <c r="R51" s="17"/>
    </row>
    <row r="52" spans="1:18" ht="19.899999999999999" customHeight="1">
      <c r="A52" s="56" t="s">
        <v>158</v>
      </c>
      <c r="B52" s="7">
        <v>5</v>
      </c>
      <c r="C52" s="8" t="s">
        <v>101</v>
      </c>
      <c r="D52" s="9">
        <v>4</v>
      </c>
      <c r="E52" s="6">
        <v>3</v>
      </c>
      <c r="F52" s="6"/>
      <c r="G52" s="6"/>
      <c r="H52" s="6"/>
      <c r="I52" s="6"/>
      <c r="J52" s="68"/>
      <c r="K52" s="14"/>
      <c r="L52" s="11"/>
      <c r="M52" s="15"/>
      <c r="N52" s="16"/>
      <c r="O52" s="17"/>
      <c r="P52" s="17"/>
      <c r="Q52" s="17"/>
      <c r="R52" s="17"/>
    </row>
    <row r="53" spans="1:18" ht="19.899999999999999" customHeight="1">
      <c r="A53" s="56" t="s">
        <v>158</v>
      </c>
      <c r="B53" s="7">
        <v>6</v>
      </c>
      <c r="C53" s="8" t="s">
        <v>102</v>
      </c>
      <c r="D53" s="9">
        <v>4</v>
      </c>
      <c r="E53" s="6">
        <v>3</v>
      </c>
      <c r="F53" s="6"/>
      <c r="G53" s="6"/>
      <c r="H53" s="6"/>
      <c r="I53" s="6"/>
      <c r="J53" s="68"/>
      <c r="K53" s="14"/>
      <c r="L53" s="11"/>
      <c r="M53" s="15"/>
      <c r="N53" s="16"/>
      <c r="O53" s="17"/>
      <c r="P53" s="17"/>
      <c r="Q53" s="17"/>
      <c r="R53" s="17"/>
    </row>
    <row r="54" spans="1:18" ht="19.899999999999999" customHeight="1">
      <c r="A54" s="56" t="s">
        <v>158</v>
      </c>
      <c r="B54" s="7">
        <v>7</v>
      </c>
      <c r="C54" s="8" t="s">
        <v>85</v>
      </c>
      <c r="D54" s="9">
        <v>4</v>
      </c>
      <c r="E54" s="6">
        <v>3</v>
      </c>
      <c r="F54" s="6"/>
      <c r="G54" s="6"/>
      <c r="H54" s="6"/>
      <c r="I54" s="6">
        <f>SUM(E48+E49+E50+E51+E52+E53+E54)</f>
        <v>23</v>
      </c>
      <c r="J54" s="68"/>
      <c r="K54" s="14"/>
      <c r="L54" s="11"/>
      <c r="M54" s="15"/>
      <c r="N54" s="16"/>
      <c r="O54" s="17"/>
      <c r="P54" s="17"/>
      <c r="Q54" s="17"/>
      <c r="R54" s="17"/>
    </row>
    <row r="55" spans="1:18" ht="19.899999999999999" customHeight="1">
      <c r="A55" s="56" t="s">
        <v>54</v>
      </c>
      <c r="B55" s="7">
        <v>1</v>
      </c>
      <c r="C55" s="8" t="s">
        <v>59</v>
      </c>
      <c r="D55" s="9">
        <v>4</v>
      </c>
      <c r="E55" s="6">
        <v>3</v>
      </c>
      <c r="F55" s="6"/>
      <c r="G55" s="6"/>
      <c r="H55" s="6"/>
      <c r="I55" s="6"/>
      <c r="J55" s="68"/>
      <c r="K55" s="14"/>
      <c r="L55" s="11"/>
      <c r="M55" s="15"/>
      <c r="N55" s="16"/>
      <c r="O55" s="17"/>
      <c r="P55" s="17"/>
      <c r="Q55" s="17"/>
      <c r="R55" s="17"/>
    </row>
    <row r="56" spans="1:18" ht="19.899999999999999" customHeight="1">
      <c r="A56" s="56" t="s">
        <v>54</v>
      </c>
      <c r="B56" s="7">
        <v>2</v>
      </c>
      <c r="C56" s="8" t="s">
        <v>30</v>
      </c>
      <c r="D56" s="9">
        <v>10</v>
      </c>
      <c r="E56" s="6">
        <v>7</v>
      </c>
      <c r="F56" s="6"/>
      <c r="G56" s="6"/>
      <c r="H56" s="6"/>
      <c r="I56" s="6"/>
      <c r="J56" s="68"/>
      <c r="K56" s="14"/>
      <c r="L56" s="11"/>
      <c r="M56" s="15"/>
      <c r="N56" s="16"/>
      <c r="O56" s="17"/>
      <c r="P56" s="17"/>
      <c r="Q56" s="17"/>
      <c r="R56" s="17"/>
    </row>
    <row r="57" spans="1:18" ht="19.899999999999999" customHeight="1">
      <c r="A57" s="56" t="s">
        <v>54</v>
      </c>
      <c r="B57" s="7">
        <v>3</v>
      </c>
      <c r="C57" s="8" t="s">
        <v>98</v>
      </c>
      <c r="D57" s="9">
        <v>4</v>
      </c>
      <c r="E57" s="6">
        <v>3</v>
      </c>
      <c r="F57" s="6"/>
      <c r="G57" s="6"/>
      <c r="H57" s="6"/>
      <c r="I57" s="6"/>
      <c r="J57" s="68"/>
      <c r="K57" s="14"/>
      <c r="L57" s="11"/>
      <c r="M57" s="15"/>
      <c r="N57" s="16"/>
      <c r="O57" s="17"/>
      <c r="P57" s="17"/>
      <c r="Q57" s="17"/>
      <c r="R57" s="17"/>
    </row>
    <row r="58" spans="1:18" ht="19.899999999999999" customHeight="1">
      <c r="A58" s="56" t="s">
        <v>54</v>
      </c>
      <c r="B58" s="7">
        <v>4</v>
      </c>
      <c r="C58" s="8" t="s">
        <v>143</v>
      </c>
      <c r="D58" s="9">
        <v>4</v>
      </c>
      <c r="E58" s="6">
        <v>3</v>
      </c>
      <c r="F58" s="6"/>
      <c r="G58" s="6"/>
      <c r="H58" s="6"/>
      <c r="I58" s="6"/>
      <c r="J58" s="68"/>
      <c r="K58" s="14"/>
      <c r="L58" s="11"/>
      <c r="M58" s="15"/>
      <c r="N58" s="16"/>
      <c r="O58" s="17"/>
      <c r="P58" s="17"/>
      <c r="Q58" s="17"/>
      <c r="R58" s="17"/>
    </row>
    <row r="59" spans="1:18" ht="19.899999999999999" customHeight="1">
      <c r="A59" s="56" t="s">
        <v>54</v>
      </c>
      <c r="B59" s="7">
        <v>5</v>
      </c>
      <c r="C59" s="8" t="s">
        <v>107</v>
      </c>
      <c r="D59" s="9">
        <v>4</v>
      </c>
      <c r="E59" s="6">
        <v>3</v>
      </c>
      <c r="F59" s="6"/>
      <c r="G59" s="6"/>
      <c r="H59" s="6"/>
      <c r="I59" s="6"/>
      <c r="J59" s="68"/>
      <c r="K59" s="14"/>
      <c r="L59" s="11"/>
      <c r="M59" s="15"/>
      <c r="N59" s="16"/>
      <c r="O59" s="17"/>
      <c r="P59" s="17"/>
      <c r="Q59" s="17"/>
      <c r="R59" s="17"/>
    </row>
    <row r="60" spans="1:18" ht="19.899999999999999" customHeight="1">
      <c r="A60" s="56" t="s">
        <v>54</v>
      </c>
      <c r="B60" s="7">
        <v>6</v>
      </c>
      <c r="C60" s="8" t="s">
        <v>86</v>
      </c>
      <c r="D60" s="9">
        <v>4</v>
      </c>
      <c r="E60" s="6">
        <v>3</v>
      </c>
      <c r="F60" s="6"/>
      <c r="G60" s="6"/>
      <c r="H60" s="6"/>
      <c r="I60" s="6">
        <f>SUM(E55+E56+E57+E58+E59+E60)</f>
        <v>22</v>
      </c>
      <c r="J60" s="68"/>
      <c r="K60" s="14"/>
      <c r="L60" s="11"/>
      <c r="M60" s="15"/>
      <c r="N60" s="16"/>
      <c r="O60" s="17"/>
      <c r="P60" s="17"/>
      <c r="Q60" s="17"/>
      <c r="R60" s="17"/>
    </row>
    <row r="61" spans="1:18" ht="19.899999999999999" customHeight="1">
      <c r="A61" s="56" t="s">
        <v>55</v>
      </c>
      <c r="B61" s="7">
        <v>1</v>
      </c>
      <c r="C61" s="8" t="s">
        <v>31</v>
      </c>
      <c r="D61" s="9">
        <v>12</v>
      </c>
      <c r="E61" s="6">
        <v>8</v>
      </c>
      <c r="F61" s="6"/>
      <c r="G61" s="6"/>
      <c r="H61" s="6"/>
      <c r="I61" s="6"/>
      <c r="J61" s="68"/>
      <c r="K61" s="14"/>
      <c r="L61" s="11"/>
      <c r="M61" s="15"/>
      <c r="N61" s="16"/>
      <c r="O61" s="17"/>
      <c r="P61" s="17"/>
      <c r="Q61" s="17"/>
      <c r="R61" s="17"/>
    </row>
    <row r="62" spans="1:18" ht="19.899999999999999" customHeight="1">
      <c r="A62" s="56" t="s">
        <v>55</v>
      </c>
      <c r="B62" s="7">
        <v>2</v>
      </c>
      <c r="C62" s="8" t="s">
        <v>135</v>
      </c>
      <c r="D62" s="9">
        <v>6</v>
      </c>
      <c r="E62" s="6">
        <v>5</v>
      </c>
      <c r="F62" s="6"/>
      <c r="G62" s="6"/>
      <c r="H62" s="6"/>
      <c r="I62" s="6"/>
      <c r="J62" s="68"/>
      <c r="K62" s="14"/>
      <c r="L62" s="11"/>
      <c r="M62" s="15"/>
      <c r="N62" s="16"/>
      <c r="O62" s="17"/>
      <c r="P62" s="17"/>
      <c r="Q62" s="17"/>
      <c r="R62" s="17"/>
    </row>
    <row r="63" spans="1:18" ht="19.899999999999999" customHeight="1">
      <c r="A63" s="56" t="s">
        <v>55</v>
      </c>
      <c r="B63" s="7">
        <v>3</v>
      </c>
      <c r="C63" s="8" t="s">
        <v>103</v>
      </c>
      <c r="D63" s="9">
        <v>4</v>
      </c>
      <c r="E63" s="6">
        <v>3</v>
      </c>
      <c r="F63" s="6"/>
      <c r="G63" s="6"/>
      <c r="H63" s="6"/>
      <c r="I63" s="6"/>
      <c r="J63" s="68"/>
      <c r="K63" s="14"/>
      <c r="L63" s="11"/>
      <c r="M63" s="15"/>
      <c r="N63" s="16"/>
      <c r="O63" s="17"/>
      <c r="P63" s="17"/>
      <c r="Q63" s="17"/>
      <c r="R63" s="17"/>
    </row>
    <row r="64" spans="1:18" ht="19.899999999999999" customHeight="1">
      <c r="A64" s="56" t="s">
        <v>55</v>
      </c>
      <c r="B64" s="7">
        <v>4</v>
      </c>
      <c r="C64" s="8" t="s">
        <v>144</v>
      </c>
      <c r="D64" s="9">
        <v>4</v>
      </c>
      <c r="E64" s="6">
        <v>3</v>
      </c>
      <c r="F64" s="6"/>
      <c r="G64" s="6"/>
      <c r="H64" s="6"/>
      <c r="I64" s="6"/>
      <c r="J64" s="68"/>
      <c r="K64" s="14"/>
      <c r="L64" s="11"/>
      <c r="M64" s="15"/>
      <c r="N64" s="16"/>
      <c r="O64" s="17"/>
      <c r="P64" s="17"/>
      <c r="Q64" s="17"/>
      <c r="R64" s="17"/>
    </row>
    <row r="65" spans="1:18" ht="19.899999999999999" customHeight="1">
      <c r="A65" s="56" t="s">
        <v>55</v>
      </c>
      <c r="B65" s="7">
        <v>5</v>
      </c>
      <c r="C65" s="8" t="s">
        <v>87</v>
      </c>
      <c r="D65" s="9">
        <v>4</v>
      </c>
      <c r="E65" s="6">
        <v>3</v>
      </c>
      <c r="F65" s="6"/>
      <c r="G65" s="6"/>
      <c r="H65" s="6"/>
      <c r="I65" s="6">
        <f>SUM(E61+E62+E63+E64+E65)</f>
        <v>22</v>
      </c>
      <c r="J65" s="68"/>
      <c r="K65" s="14"/>
      <c r="L65" s="11"/>
      <c r="M65" s="15"/>
      <c r="N65" s="16"/>
      <c r="O65" s="17"/>
      <c r="P65" s="17"/>
      <c r="Q65" s="17"/>
      <c r="R65" s="17"/>
    </row>
    <row r="66" spans="1:18" ht="43.5" customHeight="1">
      <c r="A66" s="57" t="s">
        <v>7</v>
      </c>
      <c r="B66" s="7">
        <v>1</v>
      </c>
      <c r="C66" s="8" t="s">
        <v>32</v>
      </c>
      <c r="D66" s="9">
        <v>26</v>
      </c>
      <c r="E66" s="6">
        <v>15</v>
      </c>
      <c r="F66" s="6"/>
      <c r="G66" s="6"/>
      <c r="H66" s="6"/>
      <c r="I66" s="6"/>
      <c r="J66" s="68"/>
      <c r="K66" s="14"/>
      <c r="L66" s="11"/>
      <c r="M66" s="15"/>
      <c r="N66" s="16"/>
      <c r="O66" s="17"/>
      <c r="P66" s="17"/>
      <c r="Q66" s="17"/>
      <c r="R66" s="17"/>
    </row>
    <row r="67" spans="1:18" ht="37.5" customHeight="1">
      <c r="A67" s="57" t="s">
        <v>7</v>
      </c>
      <c r="B67" s="7">
        <v>2</v>
      </c>
      <c r="C67" s="8" t="s">
        <v>104</v>
      </c>
      <c r="D67" s="9">
        <v>4</v>
      </c>
      <c r="E67" s="6">
        <v>3</v>
      </c>
      <c r="F67" s="6"/>
      <c r="G67" s="6"/>
      <c r="H67" s="6"/>
      <c r="I67" s="6">
        <f>SUM(E66+E67)</f>
        <v>18</v>
      </c>
      <c r="J67" s="68"/>
      <c r="K67" s="14"/>
      <c r="L67" s="11"/>
      <c r="M67" s="15"/>
      <c r="N67" s="16"/>
      <c r="O67" s="17"/>
      <c r="P67" s="17"/>
      <c r="Q67" s="17"/>
      <c r="R67" s="17"/>
    </row>
    <row r="68" spans="1:18" ht="45" customHeight="1">
      <c r="A68" s="57" t="s">
        <v>8</v>
      </c>
      <c r="B68" s="7">
        <v>1</v>
      </c>
      <c r="C68" s="8" t="s">
        <v>33</v>
      </c>
      <c r="D68" s="9">
        <v>26</v>
      </c>
      <c r="E68" s="6">
        <v>15</v>
      </c>
      <c r="F68" s="6"/>
      <c r="G68" s="6"/>
      <c r="H68" s="6"/>
      <c r="I68" s="6"/>
      <c r="J68" s="68"/>
      <c r="K68" s="14"/>
      <c r="L68" s="11"/>
      <c r="M68" s="15"/>
      <c r="N68" s="16"/>
      <c r="O68" s="17"/>
      <c r="P68" s="17"/>
      <c r="Q68" s="17"/>
      <c r="R68" s="17"/>
    </row>
    <row r="69" spans="1:18" ht="45" customHeight="1">
      <c r="A69" s="57" t="s">
        <v>8</v>
      </c>
      <c r="B69" s="7">
        <v>2</v>
      </c>
      <c r="C69" s="8" t="s">
        <v>105</v>
      </c>
      <c r="D69" s="9">
        <v>4</v>
      </c>
      <c r="E69" s="6">
        <v>3</v>
      </c>
      <c r="F69" s="6"/>
      <c r="G69" s="6"/>
      <c r="H69" s="6"/>
      <c r="I69" s="6">
        <f>SUM(E68+E69)</f>
        <v>18</v>
      </c>
      <c r="J69" s="68"/>
      <c r="K69" s="14"/>
      <c r="L69" s="11"/>
      <c r="M69" s="15"/>
      <c r="N69" s="16"/>
      <c r="O69" s="17"/>
      <c r="P69" s="17"/>
      <c r="Q69" s="17"/>
      <c r="R69" s="17"/>
    </row>
    <row r="70" spans="1:18" ht="19.899999999999999" customHeight="1">
      <c r="A70" s="11"/>
      <c r="B70" s="15"/>
      <c r="C70" s="16"/>
      <c r="D70" s="16"/>
      <c r="E70" s="16"/>
      <c r="F70" s="16"/>
      <c r="G70" s="16"/>
      <c r="H70" s="4"/>
      <c r="I70" s="4"/>
      <c r="J70" s="68"/>
      <c r="K70" s="14"/>
      <c r="L70" s="11"/>
      <c r="M70" s="15"/>
      <c r="N70" s="16"/>
      <c r="O70" s="17"/>
      <c r="P70" s="17"/>
      <c r="Q70" s="17"/>
      <c r="R70" s="17"/>
    </row>
    <row r="71" spans="1:18" ht="12.95" customHeight="1">
      <c r="J71" s="67"/>
      <c r="K71" s="14"/>
      <c r="L71" s="11"/>
      <c r="M71" s="15"/>
      <c r="N71" s="16"/>
      <c r="O71" s="17"/>
      <c r="P71" s="17"/>
      <c r="Q71" s="17"/>
      <c r="R71" s="17"/>
    </row>
    <row r="72" spans="1:18">
      <c r="J72" s="67"/>
      <c r="K72" s="14"/>
      <c r="L72" s="11"/>
      <c r="M72" s="15"/>
      <c r="N72" s="16"/>
      <c r="O72" s="17"/>
      <c r="P72" s="17"/>
      <c r="Q72" s="17"/>
      <c r="R72" s="17"/>
    </row>
    <row r="73" spans="1:18">
      <c r="A73" s="70"/>
      <c r="B73" s="70"/>
      <c r="C73" s="70"/>
      <c r="D73" s="70"/>
      <c r="E73" s="70"/>
      <c r="F73" s="70"/>
      <c r="G73" s="70"/>
      <c r="J73" s="67"/>
      <c r="K73" s="14"/>
      <c r="L73" s="11"/>
      <c r="M73" s="15"/>
      <c r="N73" s="16"/>
      <c r="O73" s="17"/>
      <c r="P73" s="17"/>
      <c r="Q73" s="17"/>
      <c r="R73" s="17"/>
    </row>
    <row r="74" spans="1:18" ht="23.25" customHeight="1">
      <c r="B74" s="69"/>
      <c r="C74" s="69"/>
      <c r="D74" s="69"/>
      <c r="E74" s="69"/>
      <c r="F74" s="69"/>
      <c r="G74" s="69"/>
      <c r="J74" s="67"/>
      <c r="K74" s="14"/>
      <c r="L74" s="11"/>
      <c r="M74" s="15"/>
      <c r="N74" s="16"/>
      <c r="O74" s="17"/>
      <c r="P74" s="17"/>
      <c r="Q74" s="17"/>
      <c r="R74" s="17"/>
    </row>
    <row r="75" spans="1:18" ht="13.5" customHeight="1">
      <c r="A75" s="1"/>
      <c r="J75" s="67"/>
      <c r="K75" s="14"/>
      <c r="L75" s="11"/>
      <c r="M75" s="15"/>
      <c r="N75" s="16"/>
      <c r="O75" s="17"/>
      <c r="P75" s="17"/>
      <c r="Q75" s="17"/>
      <c r="R75" s="17"/>
    </row>
    <row r="76" spans="1:18">
      <c r="A76" s="10"/>
      <c r="J76" s="67"/>
      <c r="K76" s="14"/>
      <c r="L76" s="11"/>
      <c r="M76" s="15"/>
      <c r="N76" s="16"/>
      <c r="O76" s="17"/>
      <c r="P76" s="17"/>
      <c r="Q76" s="17"/>
      <c r="R76" s="17"/>
    </row>
    <row r="77" spans="1:18" ht="15" customHeight="1">
      <c r="J77" s="67"/>
      <c r="K77" s="14"/>
      <c r="L77" s="11"/>
      <c r="M77" s="15"/>
      <c r="N77" s="16"/>
      <c r="O77" s="17"/>
      <c r="P77" s="17"/>
      <c r="Q77" s="17"/>
      <c r="R77" s="17"/>
    </row>
    <row r="78" spans="1:18">
      <c r="J78" s="67"/>
      <c r="K78" s="14"/>
      <c r="L78" s="11"/>
      <c r="M78" s="15"/>
      <c r="N78" s="16"/>
      <c r="O78" s="17"/>
      <c r="P78" s="17"/>
      <c r="Q78" s="17"/>
      <c r="R78" s="17"/>
    </row>
    <row r="79" spans="1:18">
      <c r="J79" s="67"/>
      <c r="K79" s="14"/>
      <c r="L79" s="11"/>
      <c r="M79" s="15"/>
      <c r="N79" s="16"/>
      <c r="O79" s="17"/>
      <c r="P79" s="17"/>
      <c r="Q79" s="17"/>
      <c r="R79" s="17"/>
    </row>
    <row r="80" spans="1:18">
      <c r="J80" s="67"/>
      <c r="K80" s="14"/>
      <c r="L80" s="11"/>
      <c r="M80" s="15"/>
      <c r="N80" s="16"/>
      <c r="O80" s="17"/>
      <c r="P80" s="17"/>
      <c r="Q80" s="17"/>
      <c r="R80" s="17"/>
    </row>
    <row r="81" spans="10:18">
      <c r="J81" s="67"/>
      <c r="K81" s="14"/>
      <c r="L81" s="11"/>
      <c r="M81" s="15"/>
      <c r="N81" s="16"/>
      <c r="O81" s="17"/>
      <c r="P81" s="17"/>
      <c r="Q81" s="17"/>
      <c r="R81" s="17"/>
    </row>
    <row r="82" spans="10:18" ht="15" customHeight="1">
      <c r="J82" s="71"/>
      <c r="K82" s="14"/>
      <c r="L82" s="11"/>
      <c r="M82" s="15"/>
      <c r="N82" s="16"/>
      <c r="O82" s="17"/>
      <c r="P82" s="17"/>
      <c r="Q82" s="17"/>
      <c r="R82" s="17"/>
    </row>
    <row r="83" spans="10:18">
      <c r="J83" s="71"/>
      <c r="K83" s="14"/>
      <c r="L83" s="11"/>
      <c r="M83" s="15"/>
      <c r="N83" s="16"/>
      <c r="O83" s="17"/>
      <c r="P83" s="17"/>
      <c r="Q83" s="17"/>
      <c r="R83" s="17"/>
    </row>
    <row r="84" spans="10:18" ht="15" customHeight="1">
      <c r="J84" s="71"/>
      <c r="K84" s="14"/>
      <c r="L84" s="11"/>
      <c r="M84" s="15"/>
      <c r="N84" s="16"/>
      <c r="O84" s="17"/>
      <c r="P84" s="17"/>
      <c r="Q84" s="17"/>
      <c r="R84" s="17"/>
    </row>
    <row r="85" spans="10:18">
      <c r="J85" s="71"/>
      <c r="K85" s="14"/>
      <c r="L85" s="11"/>
      <c r="M85" s="15"/>
      <c r="N85" s="16"/>
      <c r="O85" s="17"/>
      <c r="P85" s="17"/>
      <c r="Q85" s="17"/>
      <c r="R85" s="17"/>
    </row>
  </sheetData>
  <mergeCells count="17">
    <mergeCell ref="C12:F12"/>
    <mergeCell ref="A4:I4"/>
    <mergeCell ref="A3:I3"/>
    <mergeCell ref="A9:H9"/>
    <mergeCell ref="A6:K6"/>
    <mergeCell ref="J77:J81"/>
    <mergeCell ref="J82:J83"/>
    <mergeCell ref="J84:J85"/>
    <mergeCell ref="J50:J56"/>
    <mergeCell ref="J57:J63"/>
    <mergeCell ref="J64:J70"/>
    <mergeCell ref="J71:J76"/>
    <mergeCell ref="J31:J36"/>
    <mergeCell ref="J37:J42"/>
    <mergeCell ref="J43:J49"/>
    <mergeCell ref="B74:G74"/>
    <mergeCell ref="A73:G73"/>
  </mergeCells>
  <pageMargins left="0.63" right="0.15" top="0.3" bottom="0.2" header="0.31496062992125984" footer="0.3"/>
  <pageSetup paperSize="9" scale="91" orientation="portrait" horizontalDpi="4294967294" verticalDpi="300" r:id="rId1"/>
  <rowBreaks count="1" manualBreakCount="1">
    <brk id="85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4D41C-9053-40B8-B617-23F88D3190BF}">
  <sheetPr codeName="Hoja7"/>
  <dimension ref="A1:K93"/>
  <sheetViews>
    <sheetView topLeftCell="A3" zoomScaleNormal="100" zoomScaleSheetLayoutView="80" workbookViewId="0">
      <selection activeCell="P17" sqref="P17"/>
    </sheetView>
  </sheetViews>
  <sheetFormatPr baseColWidth="10" defaultRowHeight="15"/>
  <cols>
    <col min="1" max="1" width="14" customWidth="1"/>
    <col min="2" max="2" width="3.42578125" customWidth="1"/>
    <col min="3" max="3" width="56.85546875" customWidth="1"/>
    <col min="4" max="4" width="6.140625" customWidth="1"/>
    <col min="5" max="6" width="5.42578125" customWidth="1"/>
    <col min="7" max="7" width="6.5703125" customWidth="1"/>
    <col min="8" max="8" width="13" customWidth="1"/>
    <col min="9" max="9" width="7" customWidth="1"/>
  </cols>
  <sheetData>
    <row r="1" spans="1:11" ht="15.75">
      <c r="C1" s="21"/>
    </row>
    <row r="2" spans="1:11" ht="18.75">
      <c r="A2" s="11"/>
      <c r="B2" s="15"/>
      <c r="C2" s="20"/>
      <c r="D2" s="17"/>
      <c r="E2" s="17"/>
      <c r="F2" s="17"/>
      <c r="G2" s="17"/>
    </row>
    <row r="3" spans="1:11" ht="46.5">
      <c r="A3" s="83" t="s">
        <v>172</v>
      </c>
      <c r="B3" s="75"/>
      <c r="C3" s="75"/>
      <c r="D3" s="75"/>
      <c r="E3" s="75"/>
      <c r="F3" s="75"/>
      <c r="G3" s="75"/>
      <c r="H3" s="75"/>
      <c r="I3" s="75"/>
      <c r="J3" s="82"/>
      <c r="K3" s="82"/>
    </row>
    <row r="4" spans="1:11" ht="48.75">
      <c r="A4" s="76" t="s">
        <v>170</v>
      </c>
      <c r="B4" s="76"/>
      <c r="C4" s="76"/>
      <c r="D4" s="76"/>
      <c r="E4" s="76"/>
      <c r="F4" s="76"/>
      <c r="G4" s="76"/>
      <c r="H4" s="76"/>
      <c r="I4" s="76"/>
      <c r="J4" s="81"/>
      <c r="K4" s="81"/>
    </row>
    <row r="5" spans="1:11" ht="34.5" customHeight="1">
      <c r="A5" s="84" t="s">
        <v>173</v>
      </c>
      <c r="B5" s="85"/>
      <c r="C5" s="85"/>
      <c r="D5" s="85"/>
      <c r="E5" s="85"/>
      <c r="F5" s="85"/>
      <c r="G5" s="85"/>
      <c r="H5" s="85"/>
      <c r="I5" s="85"/>
      <c r="J5" s="85"/>
      <c r="K5" s="85"/>
    </row>
    <row r="6" spans="1:11" ht="18.75">
      <c r="A6" s="11"/>
      <c r="B6" s="15"/>
      <c r="C6" s="20"/>
      <c r="D6" s="17"/>
      <c r="E6" s="17"/>
      <c r="F6" s="17"/>
      <c r="G6" s="17"/>
    </row>
    <row r="7" spans="1:11" ht="18.75">
      <c r="A7" s="11"/>
      <c r="B7" s="15"/>
      <c r="C7" s="20"/>
      <c r="D7" s="17"/>
      <c r="E7" s="17"/>
      <c r="F7" s="17"/>
      <c r="G7" s="17"/>
    </row>
    <row r="8" spans="1:11" ht="46.5">
      <c r="A8" s="86" t="s">
        <v>169</v>
      </c>
      <c r="B8" s="78"/>
      <c r="C8" s="78"/>
      <c r="D8" s="78"/>
      <c r="E8" s="78"/>
      <c r="F8" s="78"/>
      <c r="G8" s="78"/>
      <c r="H8" s="78"/>
      <c r="I8" s="79"/>
      <c r="J8" s="80"/>
      <c r="K8" s="80"/>
    </row>
    <row r="9" spans="1:11" ht="42.6" customHeight="1">
      <c r="C9" s="52" t="s">
        <v>166</v>
      </c>
    </row>
    <row r="10" spans="1:11" ht="27" customHeight="1">
      <c r="A10" s="23" t="s">
        <v>167</v>
      </c>
      <c r="B10" s="23" t="s">
        <v>108</v>
      </c>
      <c r="C10" s="23" t="s">
        <v>0</v>
      </c>
      <c r="D10" s="23" t="s">
        <v>10</v>
      </c>
      <c r="E10" s="23" t="s">
        <v>1</v>
      </c>
      <c r="F10" s="23" t="s">
        <v>2</v>
      </c>
      <c r="G10" s="23" t="s">
        <v>3</v>
      </c>
      <c r="H10" s="23" t="s">
        <v>4</v>
      </c>
      <c r="I10" s="23" t="s">
        <v>5</v>
      </c>
    </row>
    <row r="11" spans="1:11" ht="19.149999999999999" customHeight="1">
      <c r="A11" s="60" t="s">
        <v>56</v>
      </c>
      <c r="B11" s="31">
        <v>1</v>
      </c>
      <c r="C11" s="32" t="s">
        <v>57</v>
      </c>
      <c r="D11" s="33">
        <v>4</v>
      </c>
      <c r="E11" s="34">
        <v>3</v>
      </c>
      <c r="F11" s="34"/>
      <c r="G11" s="34"/>
      <c r="H11" s="34"/>
      <c r="I11" s="34"/>
      <c r="J11" s="4"/>
    </row>
    <row r="12" spans="1:11" ht="19.149999999999999" customHeight="1">
      <c r="A12" s="60" t="s">
        <v>56</v>
      </c>
      <c r="B12" s="29">
        <v>2</v>
      </c>
      <c r="C12" s="25" t="s">
        <v>18</v>
      </c>
      <c r="D12" s="35">
        <v>4</v>
      </c>
      <c r="E12" s="27">
        <v>3</v>
      </c>
      <c r="F12" s="27"/>
      <c r="G12" s="27"/>
      <c r="H12" s="27"/>
      <c r="I12" s="27"/>
      <c r="J12" s="4"/>
    </row>
    <row r="13" spans="1:11" ht="19.149999999999999" customHeight="1">
      <c r="A13" s="60" t="s">
        <v>56</v>
      </c>
      <c r="B13" s="29">
        <v>3</v>
      </c>
      <c r="C13" s="25" t="s">
        <v>22</v>
      </c>
      <c r="D13" s="35">
        <v>4</v>
      </c>
      <c r="E13" s="27">
        <v>3</v>
      </c>
      <c r="F13" s="27"/>
      <c r="G13" s="27"/>
      <c r="H13" s="27"/>
      <c r="I13" s="27"/>
      <c r="J13" s="4"/>
    </row>
    <row r="14" spans="1:11" ht="19.149999999999999" customHeight="1">
      <c r="A14" s="60" t="s">
        <v>56</v>
      </c>
      <c r="B14" s="29">
        <v>4</v>
      </c>
      <c r="C14" s="25" t="s">
        <v>20</v>
      </c>
      <c r="D14" s="35">
        <v>6</v>
      </c>
      <c r="E14" s="27">
        <v>5</v>
      </c>
      <c r="F14" s="27"/>
      <c r="G14" s="27"/>
      <c r="H14" s="27"/>
      <c r="I14" s="27"/>
      <c r="J14" s="4"/>
    </row>
    <row r="15" spans="1:11" ht="19.149999999999999" customHeight="1">
      <c r="A15" s="60" t="s">
        <v>56</v>
      </c>
      <c r="B15" s="29">
        <v>5</v>
      </c>
      <c r="C15" s="25" t="s">
        <v>88</v>
      </c>
      <c r="D15" s="35">
        <v>6</v>
      </c>
      <c r="E15" s="27">
        <v>5</v>
      </c>
      <c r="F15" s="27"/>
      <c r="G15" s="27"/>
      <c r="H15" s="27"/>
      <c r="I15" s="27"/>
      <c r="J15" s="4"/>
    </row>
    <row r="16" spans="1:11" ht="19.149999999999999" customHeight="1" thickBot="1">
      <c r="A16" s="60" t="s">
        <v>56</v>
      </c>
      <c r="B16" s="29">
        <v>6</v>
      </c>
      <c r="C16" s="36" t="s">
        <v>61</v>
      </c>
      <c r="D16" s="37">
        <v>6</v>
      </c>
      <c r="E16" s="38">
        <v>5</v>
      </c>
      <c r="F16" s="38"/>
      <c r="G16" s="38"/>
      <c r="H16" s="38"/>
      <c r="I16" s="38">
        <f>SUM(E11+E12+E13+E14+E15+E16)</f>
        <v>24</v>
      </c>
      <c r="J16" s="4"/>
    </row>
    <row r="17" spans="1:11" ht="19.149999999999999" customHeight="1" thickBot="1">
      <c r="A17" s="62" t="s">
        <v>164</v>
      </c>
      <c r="B17" s="39">
        <v>1</v>
      </c>
      <c r="C17" s="40" t="s">
        <v>19</v>
      </c>
      <c r="D17" s="33">
        <v>4</v>
      </c>
      <c r="E17" s="34">
        <v>3</v>
      </c>
      <c r="F17" s="34"/>
      <c r="G17" s="34"/>
      <c r="H17" s="34"/>
      <c r="I17" s="34"/>
      <c r="J17" s="4"/>
    </row>
    <row r="18" spans="1:11" ht="19.149999999999999" customHeight="1" thickBot="1">
      <c r="A18" s="62" t="s">
        <v>164</v>
      </c>
      <c r="B18" s="31">
        <v>2</v>
      </c>
      <c r="C18" s="40" t="s">
        <v>12</v>
      </c>
      <c r="D18" s="33">
        <v>4</v>
      </c>
      <c r="E18" s="34">
        <v>3</v>
      </c>
      <c r="F18" s="34"/>
      <c r="G18" s="34"/>
      <c r="H18" s="34"/>
      <c r="I18" s="34"/>
      <c r="J18" s="4"/>
    </row>
    <row r="19" spans="1:11" ht="19.149999999999999" customHeight="1" thickBot="1">
      <c r="A19" s="62" t="s">
        <v>164</v>
      </c>
      <c r="B19" s="29">
        <v>3</v>
      </c>
      <c r="C19" s="25" t="s">
        <v>14</v>
      </c>
      <c r="D19" s="33">
        <v>4</v>
      </c>
      <c r="E19" s="34">
        <v>3</v>
      </c>
      <c r="F19" s="27"/>
      <c r="G19" s="27"/>
      <c r="H19" s="27"/>
      <c r="I19" s="27"/>
      <c r="J19" s="4"/>
    </row>
    <row r="20" spans="1:11" ht="19.149999999999999" customHeight="1" thickBot="1">
      <c r="A20" s="62" t="s">
        <v>164</v>
      </c>
      <c r="B20" s="29">
        <v>4</v>
      </c>
      <c r="C20" s="25" t="s">
        <v>25</v>
      </c>
      <c r="D20" s="35">
        <v>6</v>
      </c>
      <c r="E20" s="27">
        <v>5</v>
      </c>
      <c r="F20" s="27"/>
      <c r="G20" s="27"/>
      <c r="H20" s="27"/>
      <c r="I20" s="27"/>
      <c r="J20" s="4"/>
    </row>
    <row r="21" spans="1:11" ht="19.149999999999999" customHeight="1" thickBot="1">
      <c r="A21" s="62" t="s">
        <v>164</v>
      </c>
      <c r="B21" s="29">
        <v>5</v>
      </c>
      <c r="C21" s="25" t="s">
        <v>62</v>
      </c>
      <c r="D21" s="35">
        <v>6</v>
      </c>
      <c r="E21" s="27">
        <v>5</v>
      </c>
      <c r="F21" s="27"/>
      <c r="G21" s="27"/>
      <c r="H21" s="27"/>
      <c r="I21" s="27"/>
      <c r="J21" s="4"/>
    </row>
    <row r="22" spans="1:11" ht="19.149999999999999" customHeight="1" thickBot="1">
      <c r="A22" s="62" t="s">
        <v>164</v>
      </c>
      <c r="B22" s="41">
        <v>6</v>
      </c>
      <c r="C22" s="36" t="s">
        <v>65</v>
      </c>
      <c r="D22" s="37">
        <v>6</v>
      </c>
      <c r="E22" s="38">
        <v>5</v>
      </c>
      <c r="F22" s="38"/>
      <c r="G22" s="38"/>
      <c r="H22" s="38"/>
      <c r="I22" s="38">
        <f>E17+E18+E19+E20+E21+E22</f>
        <v>24</v>
      </c>
      <c r="J22" s="4"/>
    </row>
    <row r="23" spans="1:11" ht="19.149999999999999" customHeight="1" thickBot="1">
      <c r="A23" s="62" t="s">
        <v>165</v>
      </c>
      <c r="B23" s="31">
        <v>1</v>
      </c>
      <c r="C23" s="25" t="s">
        <v>13</v>
      </c>
      <c r="D23" s="33">
        <v>4</v>
      </c>
      <c r="E23" s="34">
        <v>3</v>
      </c>
      <c r="F23" s="34"/>
      <c r="G23" s="34"/>
      <c r="H23" s="34"/>
      <c r="I23" s="34"/>
      <c r="J23" s="4"/>
    </row>
    <row r="24" spans="1:11" ht="19.149999999999999" customHeight="1" thickBot="1">
      <c r="A24" s="62" t="s">
        <v>165</v>
      </c>
      <c r="B24" s="31">
        <v>2</v>
      </c>
      <c r="C24" s="25" t="s">
        <v>152</v>
      </c>
      <c r="D24" s="33">
        <v>4</v>
      </c>
      <c r="E24" s="34">
        <v>3</v>
      </c>
      <c r="F24" s="34"/>
      <c r="G24" s="34"/>
      <c r="H24" s="34"/>
      <c r="I24" s="34"/>
      <c r="J24" s="4"/>
    </row>
    <row r="25" spans="1:11" ht="19.149999999999999" customHeight="1" thickBot="1">
      <c r="A25" s="62" t="s">
        <v>165</v>
      </c>
      <c r="B25" s="29">
        <v>3</v>
      </c>
      <c r="C25" s="25" t="s">
        <v>26</v>
      </c>
      <c r="D25" s="35">
        <v>6</v>
      </c>
      <c r="E25" s="27">
        <v>5</v>
      </c>
      <c r="F25" s="27"/>
      <c r="G25" s="27"/>
      <c r="H25" s="27"/>
      <c r="I25" s="27"/>
      <c r="J25" s="4"/>
    </row>
    <row r="26" spans="1:11" ht="19.149999999999999" customHeight="1" thickBot="1">
      <c r="A26" s="62" t="s">
        <v>165</v>
      </c>
      <c r="B26" s="29">
        <v>4</v>
      </c>
      <c r="C26" s="25" t="s">
        <v>66</v>
      </c>
      <c r="D26" s="35">
        <v>4</v>
      </c>
      <c r="E26" s="27">
        <v>3</v>
      </c>
      <c r="F26" s="27"/>
      <c r="G26" s="27"/>
      <c r="H26" s="27"/>
      <c r="I26" s="27"/>
      <c r="J26" s="4"/>
    </row>
    <row r="27" spans="1:11" ht="19.149999999999999" customHeight="1" thickBot="1">
      <c r="A27" s="62" t="s">
        <v>165</v>
      </c>
      <c r="B27" s="29">
        <v>5</v>
      </c>
      <c r="C27" s="25" t="s">
        <v>67</v>
      </c>
      <c r="D27" s="35">
        <v>4</v>
      </c>
      <c r="E27" s="27">
        <v>3</v>
      </c>
      <c r="F27" s="27"/>
      <c r="G27" s="27"/>
      <c r="H27" s="27"/>
      <c r="I27" s="27"/>
      <c r="J27" s="4"/>
    </row>
    <row r="28" spans="1:11" ht="19.149999999999999" customHeight="1" thickBot="1">
      <c r="A28" s="62" t="s">
        <v>165</v>
      </c>
      <c r="B28" s="29">
        <v>6</v>
      </c>
      <c r="C28" s="25" t="s">
        <v>68</v>
      </c>
      <c r="D28" s="35">
        <v>4</v>
      </c>
      <c r="E28" s="27">
        <v>3</v>
      </c>
      <c r="F28" s="27"/>
      <c r="G28" s="43"/>
      <c r="H28" s="43"/>
      <c r="I28" s="43"/>
      <c r="J28" s="4"/>
    </row>
    <row r="29" spans="1:11" ht="19.149999999999999" customHeight="1" thickBot="1">
      <c r="A29" s="62" t="s">
        <v>165</v>
      </c>
      <c r="B29" s="41">
        <v>7</v>
      </c>
      <c r="C29" s="36" t="s">
        <v>154</v>
      </c>
      <c r="D29" s="44">
        <v>4</v>
      </c>
      <c r="E29" s="45">
        <v>3</v>
      </c>
      <c r="F29" s="45"/>
      <c r="G29" s="38"/>
      <c r="H29" s="38"/>
      <c r="I29" s="38">
        <f>E24+E23+E25+E26+E27+E28+E29</f>
        <v>23</v>
      </c>
      <c r="J29" s="4"/>
    </row>
    <row r="30" spans="1:11" ht="19.149999999999999" customHeight="1" thickBot="1">
      <c r="A30" s="62" t="s">
        <v>53</v>
      </c>
      <c r="B30" s="39">
        <v>1</v>
      </c>
      <c r="C30" s="25" t="s">
        <v>151</v>
      </c>
      <c r="D30" s="33">
        <v>4</v>
      </c>
      <c r="E30" s="34">
        <v>3</v>
      </c>
      <c r="F30" s="34"/>
      <c r="G30" s="34"/>
      <c r="H30" s="34"/>
      <c r="I30" s="34"/>
      <c r="J30" s="4"/>
    </row>
    <row r="31" spans="1:11" ht="19.149999999999999" customHeight="1" thickBot="1">
      <c r="A31" s="62" t="s">
        <v>53</v>
      </c>
      <c r="B31" s="31">
        <v>2</v>
      </c>
      <c r="C31" s="40" t="s">
        <v>23</v>
      </c>
      <c r="D31" s="33">
        <v>4</v>
      </c>
      <c r="E31" s="34">
        <v>3</v>
      </c>
      <c r="F31" s="34"/>
      <c r="G31" s="34"/>
      <c r="H31" s="34"/>
      <c r="I31" s="34"/>
      <c r="J31" s="4"/>
    </row>
    <row r="32" spans="1:11" ht="19.149999999999999" customHeight="1" thickBot="1">
      <c r="A32" s="62" t="s">
        <v>53</v>
      </c>
      <c r="B32" s="29">
        <v>3</v>
      </c>
      <c r="C32" s="25" t="s">
        <v>27</v>
      </c>
      <c r="D32" s="35">
        <v>6</v>
      </c>
      <c r="E32" s="27">
        <v>5</v>
      </c>
      <c r="F32" s="27"/>
      <c r="G32" s="27"/>
      <c r="H32" s="27"/>
      <c r="I32" s="27"/>
      <c r="J32" s="4"/>
      <c r="K32" s="2"/>
    </row>
    <row r="33" spans="1:11" ht="19.149999999999999" customHeight="1" thickBot="1">
      <c r="A33" s="62" t="s">
        <v>53</v>
      </c>
      <c r="B33" s="29">
        <v>4</v>
      </c>
      <c r="C33" s="25" t="s">
        <v>63</v>
      </c>
      <c r="D33" s="35">
        <v>4</v>
      </c>
      <c r="E33" s="27">
        <v>3</v>
      </c>
      <c r="F33" s="27"/>
      <c r="G33" s="27"/>
      <c r="H33" s="27"/>
      <c r="I33" s="27"/>
      <c r="J33" s="4"/>
      <c r="K33" s="3"/>
    </row>
    <row r="34" spans="1:11" ht="19.149999999999999" customHeight="1" thickBot="1">
      <c r="A34" s="62" t="s">
        <v>53</v>
      </c>
      <c r="B34" s="29">
        <v>5</v>
      </c>
      <c r="C34" s="32" t="s">
        <v>145</v>
      </c>
      <c r="D34" s="26">
        <v>4</v>
      </c>
      <c r="E34" s="27">
        <v>3</v>
      </c>
      <c r="F34" s="27"/>
      <c r="G34" s="27"/>
      <c r="H34" s="27"/>
      <c r="I34" s="27"/>
      <c r="J34" s="4"/>
      <c r="K34" s="3"/>
    </row>
    <row r="35" spans="1:11" ht="19.149999999999999" customHeight="1" thickBot="1">
      <c r="A35" s="62" t="s">
        <v>53</v>
      </c>
      <c r="B35" s="29">
        <v>6</v>
      </c>
      <c r="C35" s="25" t="s">
        <v>69</v>
      </c>
      <c r="D35" s="33">
        <v>4</v>
      </c>
      <c r="E35" s="34">
        <v>3</v>
      </c>
      <c r="F35" s="27"/>
      <c r="G35" s="27"/>
      <c r="H35" s="27"/>
      <c r="I35" s="27"/>
      <c r="J35" s="4"/>
    </row>
    <row r="36" spans="1:11" ht="19.149999999999999" customHeight="1" thickBot="1">
      <c r="A36" s="62" t="s">
        <v>53</v>
      </c>
      <c r="B36" s="29">
        <v>7</v>
      </c>
      <c r="C36" s="25" t="s">
        <v>153</v>
      </c>
      <c r="D36" s="35">
        <v>4</v>
      </c>
      <c r="E36" s="27">
        <v>3</v>
      </c>
      <c r="F36" s="27"/>
      <c r="G36" s="27"/>
      <c r="H36" s="27"/>
      <c r="I36" s="38">
        <f>E30+E31+E32+E33+E34+E35+E36</f>
        <v>23</v>
      </c>
      <c r="J36" s="4"/>
    </row>
    <row r="37" spans="1:11" ht="19.149999999999999" customHeight="1" thickBot="1">
      <c r="A37" s="62" t="s">
        <v>159</v>
      </c>
      <c r="B37" s="39">
        <v>1</v>
      </c>
      <c r="C37" s="46" t="s">
        <v>15</v>
      </c>
      <c r="D37" s="47">
        <v>4</v>
      </c>
      <c r="E37" s="48">
        <v>3</v>
      </c>
      <c r="F37" s="48"/>
      <c r="G37" s="48"/>
      <c r="H37" s="48"/>
      <c r="I37" s="48"/>
      <c r="J37" s="4"/>
    </row>
    <row r="38" spans="1:11" ht="19.149999999999999" customHeight="1" thickBot="1">
      <c r="A38" s="62" t="s">
        <v>159</v>
      </c>
      <c r="B38" s="29">
        <v>2</v>
      </c>
      <c r="C38" s="25" t="s">
        <v>28</v>
      </c>
      <c r="D38" s="35">
        <v>6</v>
      </c>
      <c r="E38" s="27">
        <v>5</v>
      </c>
      <c r="F38" s="27"/>
      <c r="G38" s="27"/>
      <c r="H38" s="27"/>
      <c r="I38" s="27"/>
      <c r="J38" s="4"/>
    </row>
    <row r="39" spans="1:11" ht="19.149999999999999" customHeight="1" thickBot="1">
      <c r="A39" s="62" t="s">
        <v>159</v>
      </c>
      <c r="B39" s="29">
        <v>3</v>
      </c>
      <c r="C39" s="25" t="s">
        <v>146</v>
      </c>
      <c r="D39" s="35">
        <v>4</v>
      </c>
      <c r="E39" s="27">
        <v>3</v>
      </c>
      <c r="F39" s="27"/>
      <c r="G39" s="27"/>
      <c r="H39" s="27"/>
      <c r="I39" s="27"/>
      <c r="J39" s="4"/>
    </row>
    <row r="40" spans="1:11" ht="19.149999999999999" customHeight="1" thickBot="1">
      <c r="A40" s="62" t="s">
        <v>159</v>
      </c>
      <c r="B40" s="29">
        <v>4</v>
      </c>
      <c r="C40" s="25" t="s">
        <v>70</v>
      </c>
      <c r="D40" s="35">
        <v>4</v>
      </c>
      <c r="E40" s="27">
        <v>3</v>
      </c>
      <c r="F40" s="27"/>
      <c r="G40" s="27"/>
      <c r="H40" s="27"/>
      <c r="I40" s="27"/>
      <c r="J40" s="4"/>
    </row>
    <row r="41" spans="1:11" ht="19.149999999999999" customHeight="1" thickBot="1">
      <c r="A41" s="62" t="s">
        <v>159</v>
      </c>
      <c r="B41" s="29">
        <v>5</v>
      </c>
      <c r="C41" s="25" t="s">
        <v>71</v>
      </c>
      <c r="D41" s="35">
        <v>4</v>
      </c>
      <c r="E41" s="27">
        <v>3</v>
      </c>
      <c r="F41" s="27"/>
      <c r="G41" s="27"/>
      <c r="H41" s="27"/>
      <c r="I41" s="27"/>
      <c r="J41" s="4"/>
    </row>
    <row r="42" spans="1:11" ht="19.149999999999999" customHeight="1" thickBot="1">
      <c r="A42" s="62" t="s">
        <v>159</v>
      </c>
      <c r="B42" s="29">
        <v>6</v>
      </c>
      <c r="C42" s="25" t="s">
        <v>72</v>
      </c>
      <c r="D42" s="35">
        <v>4</v>
      </c>
      <c r="E42" s="27">
        <v>3</v>
      </c>
      <c r="F42" s="43"/>
      <c r="G42" s="43"/>
      <c r="H42" s="43"/>
      <c r="I42" s="43"/>
      <c r="J42" s="4"/>
    </row>
    <row r="43" spans="1:11" ht="19.149999999999999" customHeight="1" thickBot="1">
      <c r="A43" s="62" t="s">
        <v>159</v>
      </c>
      <c r="B43" s="41">
        <v>7</v>
      </c>
      <c r="C43" s="36" t="s">
        <v>89</v>
      </c>
      <c r="D43" s="44">
        <v>4</v>
      </c>
      <c r="E43" s="45">
        <v>3</v>
      </c>
      <c r="F43" s="38"/>
      <c r="G43" s="38"/>
      <c r="H43" s="38"/>
      <c r="I43" s="38">
        <f>SUM(E37+E38+E40+E39+E41+E42+E43)</f>
        <v>23</v>
      </c>
      <c r="J43" s="4"/>
    </row>
    <row r="44" spans="1:11" ht="19.149999999999999" customHeight="1">
      <c r="A44" s="61" t="s">
        <v>158</v>
      </c>
      <c r="B44" s="29">
        <v>1</v>
      </c>
      <c r="C44" s="25" t="s">
        <v>59</v>
      </c>
      <c r="D44" s="35">
        <v>4</v>
      </c>
      <c r="E44" s="27">
        <v>3</v>
      </c>
      <c r="F44" s="27"/>
      <c r="G44" s="27"/>
      <c r="H44" s="27"/>
      <c r="I44" s="27"/>
      <c r="J44" s="4"/>
      <c r="K44" s="3"/>
    </row>
    <row r="45" spans="1:11" ht="19.149999999999999" customHeight="1">
      <c r="A45" s="61" t="s">
        <v>158</v>
      </c>
      <c r="B45" s="29">
        <v>2</v>
      </c>
      <c r="C45" s="25" t="s">
        <v>29</v>
      </c>
      <c r="D45" s="35">
        <v>6</v>
      </c>
      <c r="E45" s="27">
        <v>5</v>
      </c>
      <c r="F45" s="27"/>
      <c r="G45" s="27"/>
      <c r="H45" s="27"/>
      <c r="I45" s="27"/>
      <c r="J45" s="4"/>
      <c r="K45" s="3"/>
    </row>
    <row r="46" spans="1:11" ht="19.149999999999999" customHeight="1">
      <c r="A46" s="61" t="s">
        <v>158</v>
      </c>
      <c r="B46" s="29">
        <v>3</v>
      </c>
      <c r="C46" s="25" t="s">
        <v>64</v>
      </c>
      <c r="D46" s="35">
        <v>4</v>
      </c>
      <c r="E46" s="27">
        <v>3</v>
      </c>
      <c r="F46" s="27"/>
      <c r="G46" s="27"/>
      <c r="H46" s="27"/>
      <c r="I46" s="27"/>
      <c r="J46" s="4"/>
      <c r="K46" s="3"/>
    </row>
    <row r="47" spans="1:11" ht="19.149999999999999" customHeight="1">
      <c r="A47" s="61" t="s">
        <v>158</v>
      </c>
      <c r="B47" s="29">
        <v>4</v>
      </c>
      <c r="C47" s="25" t="s">
        <v>147</v>
      </c>
      <c r="D47" s="35">
        <v>4</v>
      </c>
      <c r="E47" s="27">
        <v>3</v>
      </c>
      <c r="F47" s="27"/>
      <c r="G47" s="27"/>
      <c r="H47" s="27"/>
      <c r="I47" s="27"/>
      <c r="J47" s="4"/>
      <c r="K47" s="3"/>
    </row>
    <row r="48" spans="1:11" ht="19.149999999999999" customHeight="1">
      <c r="A48" s="61" t="s">
        <v>158</v>
      </c>
      <c r="B48" s="29">
        <v>5</v>
      </c>
      <c r="C48" s="25" t="s">
        <v>73</v>
      </c>
      <c r="D48" s="35">
        <v>4</v>
      </c>
      <c r="E48" s="27">
        <v>3</v>
      </c>
      <c r="F48" s="27"/>
      <c r="G48" s="27"/>
      <c r="H48" s="27"/>
      <c r="I48" s="27"/>
      <c r="J48" s="4"/>
      <c r="K48" s="3"/>
    </row>
    <row r="49" spans="1:11" ht="19.149999999999999" customHeight="1">
      <c r="A49" s="61" t="s">
        <v>158</v>
      </c>
      <c r="B49" s="29">
        <v>6</v>
      </c>
      <c r="C49" s="25" t="s">
        <v>74</v>
      </c>
      <c r="D49" s="35">
        <v>4</v>
      </c>
      <c r="E49" s="27">
        <v>3</v>
      </c>
      <c r="F49" s="43"/>
      <c r="G49" s="43"/>
      <c r="H49" s="43"/>
      <c r="I49" s="43"/>
      <c r="J49" s="4"/>
      <c r="K49" s="3"/>
    </row>
    <row r="50" spans="1:11" ht="19.149999999999999" customHeight="1" thickBot="1">
      <c r="A50" s="61" t="s">
        <v>158</v>
      </c>
      <c r="B50" s="41">
        <v>7</v>
      </c>
      <c r="C50" s="36" t="s">
        <v>83</v>
      </c>
      <c r="D50" s="44">
        <v>4</v>
      </c>
      <c r="E50" s="45">
        <v>3</v>
      </c>
      <c r="F50" s="38"/>
      <c r="G50" s="38"/>
      <c r="H50" s="38"/>
      <c r="I50" s="38">
        <f>SUM(E44+E45+E46+E47+E48+E49+E50)</f>
        <v>23</v>
      </c>
      <c r="J50" s="4"/>
      <c r="K50" s="3"/>
    </row>
    <row r="51" spans="1:11" ht="19.149999999999999" customHeight="1" thickBot="1">
      <c r="A51" s="62" t="s">
        <v>54</v>
      </c>
      <c r="B51" s="39">
        <v>1</v>
      </c>
      <c r="C51" s="46" t="s">
        <v>58</v>
      </c>
      <c r="D51" s="33">
        <v>4</v>
      </c>
      <c r="E51" s="34">
        <v>3</v>
      </c>
      <c r="F51" s="34"/>
      <c r="G51" s="34"/>
      <c r="H51" s="34"/>
      <c r="I51" s="34"/>
      <c r="J51" s="4"/>
      <c r="K51" s="3"/>
    </row>
    <row r="52" spans="1:11" ht="19.149999999999999" customHeight="1" thickBot="1">
      <c r="A52" s="62" t="s">
        <v>54</v>
      </c>
      <c r="B52" s="29">
        <v>2</v>
      </c>
      <c r="C52" s="25" t="s">
        <v>30</v>
      </c>
      <c r="D52" s="35">
        <v>10</v>
      </c>
      <c r="E52" s="27">
        <v>7</v>
      </c>
      <c r="F52" s="27"/>
      <c r="G52" s="27"/>
      <c r="H52" s="27"/>
      <c r="I52" s="27"/>
      <c r="J52" s="4"/>
      <c r="K52" s="3"/>
    </row>
    <row r="53" spans="1:11" ht="19.149999999999999" customHeight="1" thickBot="1">
      <c r="A53" s="62" t="s">
        <v>54</v>
      </c>
      <c r="B53" s="29">
        <v>3</v>
      </c>
      <c r="C53" s="25" t="s">
        <v>75</v>
      </c>
      <c r="D53" s="35">
        <v>4</v>
      </c>
      <c r="E53" s="27">
        <v>3</v>
      </c>
      <c r="F53" s="27"/>
      <c r="G53" s="27"/>
      <c r="H53" s="27"/>
      <c r="I53" s="27"/>
      <c r="J53" s="4"/>
      <c r="K53" s="3"/>
    </row>
    <row r="54" spans="1:11" ht="19.149999999999999" customHeight="1" thickBot="1">
      <c r="A54" s="62" t="s">
        <v>54</v>
      </c>
      <c r="B54" s="29">
        <v>4</v>
      </c>
      <c r="C54" s="25" t="s">
        <v>109</v>
      </c>
      <c r="D54" s="35">
        <v>4</v>
      </c>
      <c r="E54" s="27">
        <v>3</v>
      </c>
      <c r="F54" s="27"/>
      <c r="G54" s="27"/>
      <c r="H54" s="27"/>
      <c r="I54" s="27"/>
      <c r="J54" s="4"/>
      <c r="K54" s="3"/>
    </row>
    <row r="55" spans="1:11" ht="19.149999999999999" customHeight="1" thickBot="1">
      <c r="A55" s="62" t="s">
        <v>54</v>
      </c>
      <c r="B55" s="29">
        <v>5</v>
      </c>
      <c r="C55" s="25" t="s">
        <v>76</v>
      </c>
      <c r="D55" s="35">
        <v>4</v>
      </c>
      <c r="E55" s="27">
        <v>3</v>
      </c>
      <c r="F55" s="43"/>
      <c r="G55" s="43"/>
      <c r="H55" s="43"/>
      <c r="I55" s="43"/>
      <c r="J55" s="4"/>
      <c r="K55" s="3"/>
    </row>
    <row r="56" spans="1:11" ht="19.149999999999999" customHeight="1" thickBot="1">
      <c r="A56" s="62" t="s">
        <v>54</v>
      </c>
      <c r="B56" s="41">
        <v>6</v>
      </c>
      <c r="C56" s="36" t="s">
        <v>79</v>
      </c>
      <c r="D56" s="44">
        <v>4</v>
      </c>
      <c r="E56" s="45">
        <v>3</v>
      </c>
      <c r="F56" s="38"/>
      <c r="G56" s="38"/>
      <c r="H56" s="38"/>
      <c r="I56" s="38">
        <f>SUM(E51+E52+E53+E54+E55+E56)</f>
        <v>22</v>
      </c>
      <c r="J56" s="4"/>
      <c r="K56" s="3"/>
    </row>
    <row r="57" spans="1:11" ht="19.149999999999999" customHeight="1" thickBot="1">
      <c r="A57" s="65" t="s">
        <v>55</v>
      </c>
      <c r="B57" s="39">
        <v>1</v>
      </c>
      <c r="C57" s="32" t="s">
        <v>31</v>
      </c>
      <c r="D57" s="47">
        <v>12</v>
      </c>
      <c r="E57" s="48">
        <v>8</v>
      </c>
      <c r="F57" s="48"/>
      <c r="G57" s="48"/>
      <c r="H57" s="48"/>
      <c r="I57" s="48"/>
      <c r="J57" s="4"/>
      <c r="K57" s="3"/>
    </row>
    <row r="58" spans="1:11" ht="19.149999999999999" customHeight="1" thickBot="1">
      <c r="A58" s="65" t="s">
        <v>55</v>
      </c>
      <c r="B58" s="29">
        <v>2</v>
      </c>
      <c r="C58" s="25" t="s">
        <v>77</v>
      </c>
      <c r="D58" s="35">
        <v>4</v>
      </c>
      <c r="E58" s="27">
        <v>3</v>
      </c>
      <c r="F58" s="27"/>
      <c r="G58" s="27"/>
      <c r="H58" s="27"/>
      <c r="I58" s="27"/>
      <c r="J58" s="4"/>
      <c r="K58" s="3"/>
    </row>
    <row r="59" spans="1:11" ht="19.149999999999999" customHeight="1" thickBot="1">
      <c r="A59" s="65" t="s">
        <v>55</v>
      </c>
      <c r="B59" s="29">
        <v>3</v>
      </c>
      <c r="C59" s="25" t="s">
        <v>155</v>
      </c>
      <c r="D59" s="35">
        <v>4</v>
      </c>
      <c r="E59" s="27">
        <v>3</v>
      </c>
      <c r="F59" s="27"/>
      <c r="G59" s="27"/>
      <c r="H59" s="27"/>
      <c r="I59" s="27"/>
      <c r="J59" s="4"/>
      <c r="K59" s="3"/>
    </row>
    <row r="60" spans="1:11" ht="19.149999999999999" customHeight="1" thickBot="1">
      <c r="A60" s="65" t="s">
        <v>55</v>
      </c>
      <c r="B60" s="29">
        <v>4</v>
      </c>
      <c r="C60" s="25" t="s">
        <v>78</v>
      </c>
      <c r="D60" s="26">
        <v>6</v>
      </c>
      <c r="E60" s="27">
        <v>5</v>
      </c>
      <c r="F60" s="43"/>
      <c r="G60" s="43"/>
      <c r="H60" s="43"/>
      <c r="I60" s="43"/>
      <c r="J60" s="4"/>
    </row>
    <row r="61" spans="1:11" ht="19.149999999999999" customHeight="1" thickBot="1">
      <c r="A61" s="65" t="s">
        <v>55</v>
      </c>
      <c r="B61" s="41">
        <v>5</v>
      </c>
      <c r="C61" s="32" t="s">
        <v>80</v>
      </c>
      <c r="D61" s="44">
        <v>4</v>
      </c>
      <c r="E61" s="45">
        <v>3</v>
      </c>
      <c r="F61" s="38"/>
      <c r="G61" s="38"/>
      <c r="H61" s="38"/>
      <c r="I61" s="38">
        <f>SUM(E57+E58+E59+E60+E61)</f>
        <v>22</v>
      </c>
      <c r="J61" s="4"/>
      <c r="K61" s="3"/>
    </row>
    <row r="62" spans="1:11" ht="29.25" customHeight="1">
      <c r="A62" s="66" t="s">
        <v>7</v>
      </c>
      <c r="B62" s="31">
        <v>1</v>
      </c>
      <c r="C62" s="46" t="s">
        <v>32</v>
      </c>
      <c r="D62" s="47">
        <v>26</v>
      </c>
      <c r="E62" s="48">
        <v>15</v>
      </c>
      <c r="F62" s="48"/>
      <c r="G62" s="48"/>
      <c r="H62" s="34"/>
      <c r="I62" s="34"/>
      <c r="J62" s="4"/>
      <c r="K62" s="3"/>
    </row>
    <row r="63" spans="1:11" ht="37.5" customHeight="1" thickBot="1">
      <c r="A63" s="66" t="s">
        <v>7</v>
      </c>
      <c r="B63" s="41">
        <v>2</v>
      </c>
      <c r="C63" s="36" t="s">
        <v>148</v>
      </c>
      <c r="D63" s="37">
        <v>4</v>
      </c>
      <c r="E63" s="38">
        <v>3</v>
      </c>
      <c r="F63" s="38"/>
      <c r="G63" s="38"/>
      <c r="H63" s="38"/>
      <c r="I63" s="38">
        <f>SUM(E62+E63)</f>
        <v>18</v>
      </c>
      <c r="J63" s="4"/>
      <c r="K63" s="3"/>
    </row>
    <row r="64" spans="1:11" ht="26.25" customHeight="1" thickBot="1">
      <c r="A64" s="65" t="s">
        <v>8</v>
      </c>
      <c r="B64" s="39">
        <v>1</v>
      </c>
      <c r="C64" s="46" t="s">
        <v>33</v>
      </c>
      <c r="D64" s="47">
        <v>26</v>
      </c>
      <c r="E64" s="48">
        <v>15</v>
      </c>
      <c r="F64" s="48"/>
      <c r="G64" s="48"/>
      <c r="H64" s="48"/>
      <c r="I64" s="48"/>
      <c r="J64" s="4"/>
      <c r="K64" s="3"/>
    </row>
    <row r="65" spans="1:11" ht="37.5" customHeight="1">
      <c r="A65" s="65" t="s">
        <v>8</v>
      </c>
      <c r="B65" s="29">
        <v>2</v>
      </c>
      <c r="C65" s="25" t="s">
        <v>81</v>
      </c>
      <c r="D65" s="35">
        <v>4</v>
      </c>
      <c r="E65" s="27">
        <v>3</v>
      </c>
      <c r="F65" s="27"/>
      <c r="G65" s="27"/>
      <c r="H65" s="27"/>
      <c r="I65" s="27">
        <f>SUM(E64+E65)</f>
        <v>18</v>
      </c>
      <c r="J65" s="4"/>
      <c r="K65" s="3"/>
    </row>
    <row r="66" spans="1:11" ht="12.95" customHeight="1"/>
    <row r="68" spans="1:11">
      <c r="A68" s="70"/>
      <c r="B68" s="70"/>
      <c r="C68" s="70"/>
      <c r="D68" s="70"/>
      <c r="E68" s="70"/>
      <c r="F68" s="70"/>
      <c r="G68" s="70"/>
      <c r="H68" s="70"/>
      <c r="I68" s="70"/>
    </row>
    <row r="69" spans="1:11" ht="28.9" customHeight="1">
      <c r="D69" s="69"/>
      <c r="E69" s="69"/>
      <c r="F69" s="69"/>
      <c r="G69" s="69"/>
      <c r="H69" s="69"/>
      <c r="I69" s="69"/>
    </row>
    <row r="70" spans="1:11" ht="13.5" customHeight="1">
      <c r="A70" s="1"/>
      <c r="B70" s="1"/>
      <c r="C70" s="1"/>
    </row>
    <row r="71" spans="1:11">
      <c r="A71" s="72"/>
      <c r="B71" s="72"/>
      <c r="C71" s="72"/>
    </row>
    <row r="93" spans="6:6">
      <c r="F93" t="s">
        <v>9</v>
      </c>
    </row>
  </sheetData>
  <mergeCells count="7">
    <mergeCell ref="D69:I69"/>
    <mergeCell ref="A71:C71"/>
    <mergeCell ref="A68:I68"/>
    <mergeCell ref="A3:I3"/>
    <mergeCell ref="A4:I4"/>
    <mergeCell ref="A5:K5"/>
    <mergeCell ref="A8:H8"/>
  </mergeCells>
  <pageMargins left="0.56000000000000005" right="0.12" top="0.35" bottom="0.2" header="0.31496062992125984" footer="0.31496062992125984"/>
  <pageSetup paperSize="9" scale="91" orientation="portrait" horizontalDpi="4294967294" verticalDpi="300" r:id="rId1"/>
  <rowBreaks count="1" manualBreakCount="1">
    <brk id="80" max="16383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2A9B-DBDD-4805-8EF1-6CF226406AC9}">
  <dimension ref="A1:U95"/>
  <sheetViews>
    <sheetView tabSelected="1" zoomScale="90" zoomScaleNormal="90" workbookViewId="0">
      <selection activeCell="Q16" sqref="Q16"/>
    </sheetView>
  </sheetViews>
  <sheetFormatPr baseColWidth="10" defaultRowHeight="15"/>
  <cols>
    <col min="1" max="1" width="17" customWidth="1"/>
    <col min="2" max="2" width="3.42578125" customWidth="1"/>
    <col min="3" max="3" width="57.85546875" customWidth="1"/>
    <col min="4" max="4" width="6.140625" customWidth="1"/>
    <col min="5" max="5" width="7.140625" customWidth="1"/>
    <col min="6" max="6" width="7" customWidth="1"/>
    <col min="7" max="7" width="6.85546875" customWidth="1"/>
    <col min="8" max="8" width="14.28515625" customWidth="1"/>
    <col min="9" max="9" width="7" customWidth="1"/>
  </cols>
  <sheetData>
    <row r="1" spans="1:11" ht="15.75">
      <c r="C1" s="21"/>
    </row>
    <row r="2" spans="1:11" ht="18.75">
      <c r="A2" s="11"/>
      <c r="B2" s="15"/>
      <c r="C2" s="20"/>
      <c r="D2" s="17"/>
      <c r="E2" s="17"/>
      <c r="F2" s="17"/>
      <c r="G2" s="17"/>
    </row>
    <row r="3" spans="1:11" ht="46.5">
      <c r="A3" s="83" t="s">
        <v>172</v>
      </c>
      <c r="B3" s="75"/>
      <c r="C3" s="75"/>
      <c r="D3" s="75"/>
      <c r="E3" s="75"/>
      <c r="F3" s="75"/>
      <c r="G3" s="75"/>
      <c r="H3" s="75"/>
      <c r="I3" s="75"/>
      <c r="J3" s="82"/>
      <c r="K3" s="82"/>
    </row>
    <row r="4" spans="1:11" ht="48.75">
      <c r="A4" s="76" t="s">
        <v>170</v>
      </c>
      <c r="B4" s="76"/>
      <c r="C4" s="76"/>
      <c r="D4" s="76"/>
      <c r="E4" s="76"/>
      <c r="F4" s="76"/>
      <c r="G4" s="76"/>
      <c r="H4" s="76"/>
      <c r="I4" s="76"/>
      <c r="J4" s="81"/>
      <c r="K4" s="81"/>
    </row>
    <row r="5" spans="1:11" ht="46.5">
      <c r="A5" s="84" t="s">
        <v>173</v>
      </c>
      <c r="B5" s="85"/>
      <c r="C5" s="85"/>
      <c r="D5" s="85"/>
      <c r="E5" s="85"/>
      <c r="F5" s="85"/>
      <c r="G5" s="85"/>
      <c r="H5" s="85"/>
      <c r="I5" s="85"/>
      <c r="J5" s="85"/>
      <c r="K5" s="85"/>
    </row>
    <row r="6" spans="1:11" ht="18.75">
      <c r="A6" s="11"/>
      <c r="B6" s="15"/>
      <c r="C6" s="20"/>
      <c r="D6" s="17"/>
      <c r="E6" s="17"/>
      <c r="F6" s="17"/>
      <c r="G6" s="17"/>
    </row>
    <row r="7" spans="1:11" ht="18.75">
      <c r="A7" s="11"/>
      <c r="B7" s="15"/>
      <c r="C7" s="20"/>
      <c r="D7" s="17"/>
      <c r="E7" s="17"/>
      <c r="F7" s="17"/>
      <c r="G7" s="17"/>
    </row>
    <row r="8" spans="1:11" ht="46.5">
      <c r="A8" s="86" t="s">
        <v>169</v>
      </c>
      <c r="B8" s="78"/>
      <c r="C8" s="78"/>
      <c r="D8" s="78"/>
      <c r="E8" s="78"/>
      <c r="F8" s="78"/>
      <c r="G8" s="78"/>
      <c r="H8" s="78"/>
      <c r="I8" s="79"/>
      <c r="J8" s="80"/>
      <c r="K8" s="80"/>
    </row>
    <row r="9" spans="1:11" ht="42.6" customHeight="1">
      <c r="C9" s="22" t="s">
        <v>163</v>
      </c>
    </row>
    <row r="10" spans="1:11" ht="27" customHeight="1">
      <c r="A10" s="23" t="s">
        <v>167</v>
      </c>
      <c r="B10" s="23" t="s">
        <v>108</v>
      </c>
      <c r="C10" s="23" t="s">
        <v>0</v>
      </c>
      <c r="D10" s="23" t="s">
        <v>10</v>
      </c>
      <c r="E10" s="23" t="s">
        <v>1</v>
      </c>
      <c r="F10" s="23" t="s">
        <v>2</v>
      </c>
      <c r="G10" s="23" t="s">
        <v>3</v>
      </c>
      <c r="H10" s="23" t="s">
        <v>4</v>
      </c>
      <c r="I10" s="23" t="s">
        <v>5</v>
      </c>
    </row>
    <row r="11" spans="1:11" ht="19.149999999999999" customHeight="1">
      <c r="A11" s="58" t="s">
        <v>56</v>
      </c>
      <c r="B11" s="31">
        <v>1</v>
      </c>
      <c r="C11" s="32" t="s">
        <v>57</v>
      </c>
      <c r="D11" s="33">
        <v>4</v>
      </c>
      <c r="E11" s="34">
        <v>3</v>
      </c>
      <c r="F11" s="34"/>
      <c r="G11" s="34"/>
      <c r="H11" s="34"/>
      <c r="I11" s="34"/>
      <c r="J11" s="4"/>
    </row>
    <row r="12" spans="1:11" ht="19.149999999999999" customHeight="1">
      <c r="A12" s="58" t="s">
        <v>56</v>
      </c>
      <c r="B12" s="29">
        <v>2</v>
      </c>
      <c r="C12" s="25" t="s">
        <v>18</v>
      </c>
      <c r="D12" s="35">
        <v>4</v>
      </c>
      <c r="E12" s="27">
        <v>3</v>
      </c>
      <c r="F12" s="27"/>
      <c r="G12" s="27"/>
      <c r="H12" s="27"/>
      <c r="I12" s="27"/>
      <c r="J12" s="4"/>
    </row>
    <row r="13" spans="1:11" ht="19.149999999999999" customHeight="1">
      <c r="A13" s="58" t="s">
        <v>56</v>
      </c>
      <c r="B13" s="29">
        <v>3</v>
      </c>
      <c r="C13" s="25" t="s">
        <v>22</v>
      </c>
      <c r="D13" s="35">
        <v>4</v>
      </c>
      <c r="E13" s="27">
        <v>3</v>
      </c>
      <c r="F13" s="27"/>
      <c r="G13" s="27"/>
      <c r="H13" s="27"/>
      <c r="I13" s="27"/>
      <c r="J13" s="4"/>
    </row>
    <row r="14" spans="1:11" ht="19.149999999999999" customHeight="1">
      <c r="A14" s="58" t="s">
        <v>56</v>
      </c>
      <c r="B14" s="29">
        <v>4</v>
      </c>
      <c r="C14" s="25" t="s">
        <v>20</v>
      </c>
      <c r="D14" s="35">
        <v>6</v>
      </c>
      <c r="E14" s="27">
        <v>5</v>
      </c>
      <c r="F14" s="27"/>
      <c r="G14" s="27"/>
      <c r="H14" s="27"/>
      <c r="I14" s="27"/>
      <c r="J14" s="4"/>
    </row>
    <row r="15" spans="1:11" ht="19.149999999999999" customHeight="1">
      <c r="A15" s="58" t="s">
        <v>56</v>
      </c>
      <c r="B15" s="29">
        <v>5</v>
      </c>
      <c r="C15" s="25" t="s">
        <v>88</v>
      </c>
      <c r="D15" s="35">
        <v>6</v>
      </c>
      <c r="E15" s="27">
        <v>5</v>
      </c>
      <c r="F15" s="27"/>
      <c r="G15" s="27"/>
      <c r="H15" s="27"/>
      <c r="I15" s="27"/>
      <c r="J15" s="4"/>
    </row>
    <row r="16" spans="1:11" ht="19.149999999999999" customHeight="1" thickBot="1">
      <c r="A16" s="58" t="s">
        <v>56</v>
      </c>
      <c r="B16" s="29">
        <v>6</v>
      </c>
      <c r="C16" s="36" t="s">
        <v>61</v>
      </c>
      <c r="D16" s="37">
        <v>6</v>
      </c>
      <c r="E16" s="38">
        <v>5</v>
      </c>
      <c r="F16" s="38"/>
      <c r="G16" s="38"/>
      <c r="H16" s="38"/>
      <c r="I16" s="38">
        <f>SUM(E11+E12+E13+E14+E15+E16)</f>
        <v>24</v>
      </c>
      <c r="J16" s="4"/>
    </row>
    <row r="17" spans="1:11" ht="19.149999999999999" customHeight="1" thickBot="1">
      <c r="A17" s="59" t="s">
        <v>51</v>
      </c>
      <c r="B17" s="39">
        <v>1</v>
      </c>
      <c r="C17" s="25" t="s">
        <v>19</v>
      </c>
      <c r="D17" s="33">
        <v>4</v>
      </c>
      <c r="E17" s="34">
        <v>3</v>
      </c>
      <c r="F17" s="34"/>
      <c r="G17" s="34"/>
      <c r="H17" s="34"/>
      <c r="I17" s="34"/>
      <c r="J17" s="4"/>
    </row>
    <row r="18" spans="1:11" ht="19.149999999999999" customHeight="1" thickBot="1">
      <c r="A18" s="59" t="s">
        <v>51</v>
      </c>
      <c r="B18" s="31">
        <v>2</v>
      </c>
      <c r="C18" s="40" t="s">
        <v>12</v>
      </c>
      <c r="D18" s="33">
        <v>4</v>
      </c>
      <c r="E18" s="34">
        <v>3</v>
      </c>
      <c r="F18" s="34"/>
      <c r="G18" s="34"/>
      <c r="H18" s="34"/>
      <c r="I18" s="34"/>
      <c r="J18" s="4"/>
    </row>
    <row r="19" spans="1:11" ht="19.149999999999999" customHeight="1" thickBot="1">
      <c r="A19" s="59" t="s">
        <v>51</v>
      </c>
      <c r="B19" s="29">
        <v>3</v>
      </c>
      <c r="C19" s="25" t="s">
        <v>14</v>
      </c>
      <c r="D19" s="33">
        <v>4</v>
      </c>
      <c r="E19" s="34">
        <v>3</v>
      </c>
      <c r="F19" s="27"/>
      <c r="G19" s="27"/>
      <c r="H19" s="27"/>
      <c r="I19" s="27"/>
      <c r="J19" s="4"/>
    </row>
    <row r="20" spans="1:11" ht="19.149999999999999" customHeight="1" thickBot="1">
      <c r="A20" s="59" t="s">
        <v>51</v>
      </c>
      <c r="B20" s="29">
        <v>4</v>
      </c>
      <c r="C20" s="25" t="s">
        <v>25</v>
      </c>
      <c r="D20" s="35">
        <v>6</v>
      </c>
      <c r="E20" s="27">
        <v>5</v>
      </c>
      <c r="F20" s="27"/>
      <c r="G20" s="27"/>
      <c r="H20" s="27"/>
      <c r="I20" s="27"/>
      <c r="J20" s="4"/>
    </row>
    <row r="21" spans="1:11" ht="19.149999999999999" customHeight="1" thickBot="1">
      <c r="A21" s="59" t="s">
        <v>51</v>
      </c>
      <c r="B21" s="29">
        <v>5</v>
      </c>
      <c r="C21" s="25" t="s">
        <v>110</v>
      </c>
      <c r="D21" s="35">
        <v>6</v>
      </c>
      <c r="E21" s="27">
        <v>5</v>
      </c>
      <c r="F21" s="27"/>
      <c r="G21" s="27"/>
      <c r="H21" s="27"/>
      <c r="I21" s="27"/>
      <c r="J21" s="4"/>
    </row>
    <row r="22" spans="1:11" ht="19.149999999999999" customHeight="1" thickBot="1">
      <c r="A22" s="59" t="s">
        <v>51</v>
      </c>
      <c r="B22" s="41">
        <v>6</v>
      </c>
      <c r="C22" s="36" t="s">
        <v>111</v>
      </c>
      <c r="D22" s="37">
        <v>6</v>
      </c>
      <c r="E22" s="38">
        <v>5</v>
      </c>
      <c r="F22" s="38"/>
      <c r="G22" s="38"/>
      <c r="H22" s="38"/>
      <c r="I22" s="38">
        <f>E17+E18+E19+E20+E21+E22</f>
        <v>24</v>
      </c>
      <c r="J22" s="4"/>
    </row>
    <row r="23" spans="1:11" ht="19.149999999999999" customHeight="1" thickBot="1">
      <c r="A23" s="59" t="s">
        <v>52</v>
      </c>
      <c r="B23" s="39">
        <v>1</v>
      </c>
      <c r="C23" s="42" t="s">
        <v>15</v>
      </c>
      <c r="D23" s="33">
        <v>4</v>
      </c>
      <c r="E23" s="34">
        <v>3</v>
      </c>
      <c r="F23" s="34"/>
      <c r="G23" s="34"/>
      <c r="H23" s="34"/>
      <c r="I23" s="34"/>
      <c r="J23" s="4"/>
    </row>
    <row r="24" spans="1:11" ht="19.149999999999999" customHeight="1" thickBot="1">
      <c r="A24" s="59" t="s">
        <v>52</v>
      </c>
      <c r="B24" s="29">
        <v>2</v>
      </c>
      <c r="C24" s="25" t="s">
        <v>91</v>
      </c>
      <c r="D24" s="35">
        <v>4</v>
      </c>
      <c r="E24" s="27">
        <v>3</v>
      </c>
      <c r="F24" s="27"/>
      <c r="G24" s="27"/>
      <c r="H24" s="27"/>
      <c r="I24" s="27"/>
      <c r="J24" s="4"/>
    </row>
    <row r="25" spans="1:11" ht="19.149999999999999" customHeight="1" thickBot="1">
      <c r="A25" s="59" t="s">
        <v>52</v>
      </c>
      <c r="B25" s="29">
        <v>3</v>
      </c>
      <c r="C25" s="25" t="s">
        <v>26</v>
      </c>
      <c r="D25" s="35">
        <v>6</v>
      </c>
      <c r="E25" s="27">
        <v>5</v>
      </c>
      <c r="F25" s="27"/>
      <c r="G25" s="27"/>
      <c r="H25" s="27"/>
      <c r="I25" s="27"/>
      <c r="J25" s="4"/>
    </row>
    <row r="26" spans="1:11" ht="19.149999999999999" customHeight="1" thickBot="1">
      <c r="A26" s="59" t="s">
        <v>52</v>
      </c>
      <c r="B26" s="29">
        <v>4</v>
      </c>
      <c r="C26" s="25" t="s">
        <v>149</v>
      </c>
      <c r="D26" s="35">
        <v>4</v>
      </c>
      <c r="E26" s="27">
        <v>3</v>
      </c>
      <c r="F26" s="27"/>
      <c r="G26" s="27"/>
      <c r="H26" s="27"/>
      <c r="I26" s="27"/>
      <c r="J26" s="4"/>
    </row>
    <row r="27" spans="1:11" ht="19.149999999999999" customHeight="1" thickBot="1">
      <c r="A27" s="59" t="s">
        <v>52</v>
      </c>
      <c r="B27" s="29">
        <v>5</v>
      </c>
      <c r="C27" s="25" t="s">
        <v>112</v>
      </c>
      <c r="D27" s="35">
        <v>4</v>
      </c>
      <c r="E27" s="27">
        <v>3</v>
      </c>
      <c r="F27" s="27"/>
      <c r="G27" s="27"/>
      <c r="H27" s="27"/>
      <c r="I27" s="27"/>
      <c r="J27" s="4"/>
    </row>
    <row r="28" spans="1:11" ht="19.149999999999999" customHeight="1" thickBot="1">
      <c r="A28" s="59" t="s">
        <v>52</v>
      </c>
      <c r="B28" s="29">
        <v>6</v>
      </c>
      <c r="C28" s="25" t="s">
        <v>113</v>
      </c>
      <c r="D28" s="35">
        <v>4</v>
      </c>
      <c r="E28" s="27">
        <v>3</v>
      </c>
      <c r="F28" s="27"/>
      <c r="G28" s="43"/>
      <c r="H28" s="43"/>
      <c r="I28" s="43"/>
      <c r="J28" s="4"/>
    </row>
    <row r="29" spans="1:11" ht="19.149999999999999" customHeight="1" thickBot="1">
      <c r="A29" s="59" t="s">
        <v>52</v>
      </c>
      <c r="B29" s="41">
        <v>7</v>
      </c>
      <c r="C29" s="36" t="s">
        <v>156</v>
      </c>
      <c r="D29" s="44">
        <v>4</v>
      </c>
      <c r="E29" s="45">
        <v>3</v>
      </c>
      <c r="F29" s="45"/>
      <c r="G29" s="38"/>
      <c r="H29" s="38"/>
      <c r="I29" s="38">
        <f>SUM(E23+E24+E25+E26+E27+E28+E29)</f>
        <v>23</v>
      </c>
      <c r="J29" s="4"/>
    </row>
    <row r="30" spans="1:11" ht="19.149999999999999" customHeight="1" thickBot="1">
      <c r="A30" s="59" t="s">
        <v>160</v>
      </c>
      <c r="B30" s="39">
        <v>1</v>
      </c>
      <c r="C30" s="25" t="s">
        <v>92</v>
      </c>
      <c r="D30" s="33">
        <v>4</v>
      </c>
      <c r="E30" s="34">
        <v>3</v>
      </c>
      <c r="F30" s="34"/>
      <c r="G30" s="34"/>
      <c r="H30" s="34"/>
      <c r="I30" s="34"/>
      <c r="J30" s="4"/>
    </row>
    <row r="31" spans="1:11" ht="19.149999999999999" customHeight="1" thickBot="1">
      <c r="A31" s="59" t="s">
        <v>160</v>
      </c>
      <c r="B31" s="31">
        <v>2</v>
      </c>
      <c r="C31" s="40" t="s">
        <v>23</v>
      </c>
      <c r="D31" s="33">
        <v>4</v>
      </c>
      <c r="E31" s="34">
        <v>3</v>
      </c>
      <c r="F31" s="34"/>
      <c r="G31" s="34"/>
      <c r="H31" s="34"/>
      <c r="I31" s="34"/>
      <c r="J31" s="4"/>
    </row>
    <row r="32" spans="1:11" ht="19.149999999999999" customHeight="1" thickBot="1">
      <c r="A32" s="59" t="s">
        <v>160</v>
      </c>
      <c r="B32" s="29">
        <v>3</v>
      </c>
      <c r="C32" s="25" t="s">
        <v>27</v>
      </c>
      <c r="D32" s="35">
        <v>6</v>
      </c>
      <c r="E32" s="27">
        <v>5</v>
      </c>
      <c r="F32" s="27"/>
      <c r="G32" s="27"/>
      <c r="H32" s="27"/>
      <c r="I32" s="27"/>
      <c r="J32" s="4"/>
      <c r="K32" s="2"/>
    </row>
    <row r="33" spans="1:21" ht="19.149999999999999" customHeight="1" thickBot="1">
      <c r="A33" s="59" t="s">
        <v>160</v>
      </c>
      <c r="B33" s="29">
        <v>4</v>
      </c>
      <c r="C33" s="25" t="s">
        <v>63</v>
      </c>
      <c r="D33" s="35">
        <v>4</v>
      </c>
      <c r="E33" s="27">
        <v>3</v>
      </c>
      <c r="F33" s="27"/>
      <c r="G33" s="27"/>
      <c r="H33" s="27"/>
      <c r="I33" s="27"/>
      <c r="J33" s="4"/>
    </row>
    <row r="34" spans="1:21" ht="19.149999999999999" customHeight="1" thickBot="1">
      <c r="A34" s="59" t="s">
        <v>160</v>
      </c>
      <c r="B34" s="29">
        <v>5</v>
      </c>
      <c r="C34" s="25" t="s">
        <v>114</v>
      </c>
      <c r="D34" s="35">
        <v>4</v>
      </c>
      <c r="E34" s="27">
        <v>3</v>
      </c>
      <c r="F34" s="27"/>
      <c r="G34" s="27"/>
      <c r="H34" s="27"/>
      <c r="I34" s="27"/>
      <c r="J34" s="4"/>
    </row>
    <row r="35" spans="1:21" ht="19.149999999999999" customHeight="1" thickBot="1">
      <c r="A35" s="59" t="s">
        <v>160</v>
      </c>
      <c r="B35" s="29">
        <v>6</v>
      </c>
      <c r="C35" s="25" t="s">
        <v>157</v>
      </c>
      <c r="D35" s="35">
        <v>4</v>
      </c>
      <c r="E35" s="27">
        <v>3</v>
      </c>
      <c r="F35" s="27"/>
      <c r="G35" s="27"/>
      <c r="H35" s="43"/>
      <c r="I35" s="43"/>
      <c r="J35" s="4"/>
    </row>
    <row r="36" spans="1:21" ht="19.149999999999999" customHeight="1" thickBot="1">
      <c r="A36" s="59" t="s">
        <v>160</v>
      </c>
      <c r="B36" s="41">
        <v>7</v>
      </c>
      <c r="C36" s="32" t="s">
        <v>115</v>
      </c>
      <c r="D36" s="44">
        <v>4</v>
      </c>
      <c r="E36" s="45">
        <v>3</v>
      </c>
      <c r="F36" s="45"/>
      <c r="G36" s="45"/>
      <c r="H36" s="38"/>
      <c r="I36" s="38">
        <f>SUM(E31+E30+E32+E33+E34+E35+E36)</f>
        <v>23</v>
      </c>
      <c r="J36" s="4"/>
    </row>
    <row r="37" spans="1:21" ht="19.149999999999999" customHeight="1" thickBot="1">
      <c r="A37" s="59" t="s">
        <v>159</v>
      </c>
      <c r="B37" s="39">
        <v>1</v>
      </c>
      <c r="C37" s="46" t="s">
        <v>13</v>
      </c>
      <c r="D37" s="47">
        <v>4</v>
      </c>
      <c r="E37" s="48">
        <v>3</v>
      </c>
      <c r="F37" s="48"/>
      <c r="G37" s="48"/>
      <c r="H37" s="48"/>
      <c r="I37" s="48"/>
      <c r="J37" s="4"/>
    </row>
    <row r="38" spans="1:21" ht="19.149999999999999" customHeight="1" thickBot="1">
      <c r="A38" s="59" t="s">
        <v>159</v>
      </c>
      <c r="B38" s="29">
        <v>2</v>
      </c>
      <c r="C38" s="25" t="s">
        <v>28</v>
      </c>
      <c r="D38" s="35">
        <v>6</v>
      </c>
      <c r="E38" s="27">
        <v>5</v>
      </c>
      <c r="F38" s="27"/>
      <c r="G38" s="27"/>
      <c r="H38" s="27"/>
      <c r="I38" s="27"/>
      <c r="J38" s="4"/>
    </row>
    <row r="39" spans="1:21" ht="19.149999999999999" customHeight="1" thickBot="1">
      <c r="A39" s="59" t="s">
        <v>159</v>
      </c>
      <c r="B39" s="29">
        <v>3</v>
      </c>
      <c r="C39" s="25" t="s">
        <v>70</v>
      </c>
      <c r="D39" s="35">
        <v>4</v>
      </c>
      <c r="E39" s="27">
        <v>3</v>
      </c>
      <c r="F39" s="27"/>
      <c r="G39" s="27"/>
      <c r="H39" s="27"/>
      <c r="I39" s="27"/>
      <c r="J39" s="4"/>
    </row>
    <row r="40" spans="1:21" ht="19.149999999999999" customHeight="1" thickBot="1">
      <c r="A40" s="59" t="s">
        <v>159</v>
      </c>
      <c r="B40" s="29">
        <v>4</v>
      </c>
      <c r="C40" s="25" t="s">
        <v>116</v>
      </c>
      <c r="D40" s="35">
        <v>4</v>
      </c>
      <c r="E40" s="27">
        <v>3</v>
      </c>
      <c r="F40" s="27"/>
      <c r="G40" s="27"/>
      <c r="H40" s="27"/>
      <c r="I40" s="27"/>
      <c r="J40" s="4"/>
    </row>
    <row r="41" spans="1:21" ht="19.149999999999999" customHeight="1" thickBot="1">
      <c r="A41" s="59" t="s">
        <v>159</v>
      </c>
      <c r="B41" s="29">
        <v>5</v>
      </c>
      <c r="C41" s="25" t="s">
        <v>118</v>
      </c>
      <c r="D41" s="35">
        <v>4</v>
      </c>
      <c r="E41" s="27">
        <v>3</v>
      </c>
      <c r="F41" s="27"/>
      <c r="G41" s="27"/>
      <c r="H41" s="27"/>
      <c r="I41" s="27"/>
      <c r="J41" s="4"/>
    </row>
    <row r="42" spans="1:21" ht="19.149999999999999" customHeight="1" thickBot="1">
      <c r="A42" s="59" t="s">
        <v>159</v>
      </c>
      <c r="B42" s="29">
        <v>6</v>
      </c>
      <c r="C42" s="25" t="s">
        <v>117</v>
      </c>
      <c r="D42" s="26">
        <v>4</v>
      </c>
      <c r="E42" s="27">
        <v>3</v>
      </c>
      <c r="F42" s="27"/>
      <c r="G42" s="27"/>
      <c r="H42" s="27"/>
      <c r="I42" s="27"/>
      <c r="J42" s="4"/>
    </row>
    <row r="43" spans="1:21" ht="19.149999999999999" customHeight="1" thickBot="1">
      <c r="A43" s="59" t="s">
        <v>159</v>
      </c>
      <c r="B43" s="49">
        <v>7</v>
      </c>
      <c r="C43" s="25" t="s">
        <v>82</v>
      </c>
      <c r="D43" s="26">
        <v>4</v>
      </c>
      <c r="E43" s="27">
        <v>3</v>
      </c>
      <c r="F43" s="30"/>
      <c r="G43" s="30"/>
      <c r="H43" s="30"/>
      <c r="I43" s="38">
        <f>SUM(E37+E38+E39+E40+E41+E42+E43)</f>
        <v>23</v>
      </c>
    </row>
    <row r="44" spans="1:21" ht="18" customHeight="1">
      <c r="A44" s="61" t="s">
        <v>158</v>
      </c>
      <c r="B44" s="29">
        <v>1</v>
      </c>
      <c r="C44" s="25" t="s">
        <v>59</v>
      </c>
      <c r="D44" s="35">
        <v>4</v>
      </c>
      <c r="E44" s="27">
        <v>3</v>
      </c>
      <c r="F44" s="27"/>
      <c r="G44" s="27"/>
      <c r="H44" s="27"/>
      <c r="I44" s="27"/>
    </row>
    <row r="45" spans="1:21" ht="31.9" customHeight="1">
      <c r="A45" s="61" t="s">
        <v>158</v>
      </c>
      <c r="B45" s="29">
        <v>2</v>
      </c>
      <c r="C45" s="25" t="s">
        <v>29</v>
      </c>
      <c r="D45" s="35">
        <v>6</v>
      </c>
      <c r="E45" s="27">
        <v>5</v>
      </c>
      <c r="F45" s="27"/>
      <c r="G45" s="27"/>
      <c r="H45" s="27"/>
      <c r="I45" s="27"/>
    </row>
    <row r="46" spans="1:21" ht="19.149999999999999" customHeight="1">
      <c r="A46" s="61" t="s">
        <v>158</v>
      </c>
      <c r="B46" s="29">
        <v>3</v>
      </c>
      <c r="C46" s="25" t="s">
        <v>64</v>
      </c>
      <c r="D46" s="35">
        <v>4</v>
      </c>
      <c r="E46" s="27">
        <v>3</v>
      </c>
      <c r="F46" s="27"/>
      <c r="G46" s="27"/>
      <c r="H46" s="27"/>
      <c r="I46" s="27"/>
      <c r="J46" s="4"/>
      <c r="K46" s="3"/>
      <c r="U46" s="4"/>
    </row>
    <row r="47" spans="1:21" ht="19.149999999999999" customHeight="1">
      <c r="A47" s="61" t="s">
        <v>158</v>
      </c>
      <c r="B47" s="29">
        <v>4</v>
      </c>
      <c r="C47" s="25" t="s">
        <v>119</v>
      </c>
      <c r="D47" s="35">
        <v>4</v>
      </c>
      <c r="E47" s="27">
        <v>3</v>
      </c>
      <c r="F47" s="27"/>
      <c r="G47" s="27"/>
      <c r="H47" s="27"/>
      <c r="I47" s="27"/>
      <c r="J47" s="4"/>
      <c r="K47" s="3"/>
      <c r="U47" s="4"/>
    </row>
    <row r="48" spans="1:21" ht="19.149999999999999" customHeight="1">
      <c r="A48" s="61" t="s">
        <v>158</v>
      </c>
      <c r="B48" s="29">
        <v>5</v>
      </c>
      <c r="C48" s="25" t="s">
        <v>150</v>
      </c>
      <c r="D48" s="35">
        <v>4</v>
      </c>
      <c r="E48" s="27">
        <v>3</v>
      </c>
      <c r="F48" s="27"/>
      <c r="G48" s="27"/>
      <c r="H48" s="27"/>
      <c r="I48" s="27"/>
      <c r="J48" s="4"/>
      <c r="K48" s="3"/>
      <c r="U48" s="4"/>
    </row>
    <row r="49" spans="1:21" ht="19.149999999999999" customHeight="1">
      <c r="A49" s="61" t="s">
        <v>158</v>
      </c>
      <c r="B49" s="29">
        <v>5</v>
      </c>
      <c r="C49" s="25" t="s">
        <v>120</v>
      </c>
      <c r="D49" s="35">
        <v>4</v>
      </c>
      <c r="E49" s="27">
        <v>3</v>
      </c>
      <c r="F49" s="43"/>
      <c r="G49" s="43"/>
      <c r="H49" s="43"/>
      <c r="I49" s="43"/>
      <c r="J49" s="4"/>
      <c r="K49" s="3"/>
      <c r="U49" s="4"/>
    </row>
    <row r="50" spans="1:21" ht="19.149999999999999" customHeight="1" thickBot="1">
      <c r="A50" s="61" t="s">
        <v>158</v>
      </c>
      <c r="B50" s="29">
        <v>6</v>
      </c>
      <c r="C50" s="36" t="s">
        <v>83</v>
      </c>
      <c r="D50" s="50">
        <v>4</v>
      </c>
      <c r="E50" s="38">
        <v>3</v>
      </c>
      <c r="F50" s="38"/>
      <c r="G50" s="38"/>
      <c r="H50" s="38"/>
      <c r="I50" s="38">
        <f>SUM(E44:E50)</f>
        <v>23</v>
      </c>
      <c r="J50" s="4"/>
      <c r="K50" s="3"/>
      <c r="U50" s="4"/>
    </row>
    <row r="51" spans="1:21" ht="19.149999999999999" customHeight="1" thickBot="1">
      <c r="A51" s="62" t="s">
        <v>54</v>
      </c>
      <c r="B51" s="39">
        <v>1</v>
      </c>
      <c r="C51" s="46" t="s">
        <v>58</v>
      </c>
      <c r="D51" s="33">
        <v>4</v>
      </c>
      <c r="E51" s="34">
        <v>3</v>
      </c>
      <c r="F51" s="34"/>
      <c r="G51" s="34"/>
      <c r="H51" s="34"/>
      <c r="I51" s="34"/>
      <c r="J51" s="4"/>
      <c r="K51" s="3"/>
      <c r="U51" s="4"/>
    </row>
    <row r="52" spans="1:21" ht="19.149999999999999" customHeight="1" thickBot="1">
      <c r="A52" s="62" t="s">
        <v>54</v>
      </c>
      <c r="B52" s="29">
        <v>2</v>
      </c>
      <c r="C52" s="25" t="s">
        <v>30</v>
      </c>
      <c r="D52" s="35">
        <v>10</v>
      </c>
      <c r="E52" s="27">
        <v>7</v>
      </c>
      <c r="F52" s="27"/>
      <c r="G52" s="27"/>
      <c r="H52" s="27"/>
      <c r="I52" s="27"/>
      <c r="J52" s="4"/>
      <c r="K52" s="3"/>
      <c r="U52" s="4"/>
    </row>
    <row r="53" spans="1:21" ht="19.149999999999999" customHeight="1" thickBot="1">
      <c r="A53" s="62" t="s">
        <v>54</v>
      </c>
      <c r="B53" s="29">
        <v>3</v>
      </c>
      <c r="C53" s="25" t="s">
        <v>121</v>
      </c>
      <c r="D53" s="35">
        <v>4</v>
      </c>
      <c r="E53" s="27">
        <v>3</v>
      </c>
      <c r="F53" s="27"/>
      <c r="G53" s="27"/>
      <c r="H53" s="27"/>
      <c r="I53" s="27"/>
      <c r="J53" s="4"/>
      <c r="K53" s="3"/>
      <c r="U53" s="4"/>
    </row>
    <row r="54" spans="1:21" ht="19.149999999999999" customHeight="1" thickBot="1">
      <c r="A54" s="62" t="s">
        <v>54</v>
      </c>
      <c r="B54" s="29">
        <v>4</v>
      </c>
      <c r="C54" s="25" t="s">
        <v>75</v>
      </c>
      <c r="D54" s="35">
        <v>4</v>
      </c>
      <c r="E54" s="27">
        <v>3</v>
      </c>
      <c r="F54" s="27"/>
      <c r="G54" s="27"/>
      <c r="H54" s="27"/>
      <c r="I54" s="27"/>
      <c r="J54" s="4"/>
      <c r="K54" s="3"/>
      <c r="U54" s="4"/>
    </row>
    <row r="55" spans="1:21" ht="19.149999999999999" customHeight="1" thickBot="1">
      <c r="A55" s="62" t="s">
        <v>54</v>
      </c>
      <c r="B55" s="29">
        <v>5</v>
      </c>
      <c r="C55" s="25" t="s">
        <v>122</v>
      </c>
      <c r="D55" s="26">
        <v>4</v>
      </c>
      <c r="E55" s="27">
        <v>3</v>
      </c>
      <c r="F55" s="43"/>
      <c r="G55" s="43"/>
      <c r="H55" s="43"/>
      <c r="I55" s="43"/>
      <c r="J55" s="4"/>
      <c r="K55" s="3"/>
      <c r="U55" s="4"/>
    </row>
    <row r="56" spans="1:21" ht="19.149999999999999" customHeight="1" thickBot="1">
      <c r="A56" s="62" t="s">
        <v>54</v>
      </c>
      <c r="B56" s="41">
        <v>6</v>
      </c>
      <c r="C56" s="36" t="s">
        <v>84</v>
      </c>
      <c r="D56" s="50">
        <v>4</v>
      </c>
      <c r="E56" s="38">
        <v>3</v>
      </c>
      <c r="F56" s="43"/>
      <c r="G56" s="43"/>
      <c r="H56" s="43"/>
      <c r="I56" s="38">
        <f>SUM(E51:E56)</f>
        <v>22</v>
      </c>
      <c r="J56" s="4"/>
      <c r="K56" s="3"/>
      <c r="U56" s="4"/>
    </row>
    <row r="57" spans="1:21" ht="19.149999999999999" customHeight="1" thickBot="1">
      <c r="A57" s="63" t="s">
        <v>55</v>
      </c>
      <c r="B57" s="31">
        <v>1</v>
      </c>
      <c r="C57" s="32" t="s">
        <v>31</v>
      </c>
      <c r="D57" s="33">
        <v>12</v>
      </c>
      <c r="E57" s="34">
        <v>8</v>
      </c>
      <c r="F57" s="48"/>
      <c r="G57" s="48"/>
      <c r="H57" s="48"/>
      <c r="I57" s="48"/>
      <c r="J57" s="4"/>
      <c r="K57" s="3"/>
      <c r="U57" s="4"/>
    </row>
    <row r="58" spans="1:21" ht="19.149999999999999" customHeight="1" thickBot="1">
      <c r="A58" s="63" t="s">
        <v>55</v>
      </c>
      <c r="B58" s="31">
        <v>2</v>
      </c>
      <c r="C58" s="25" t="s">
        <v>77</v>
      </c>
      <c r="D58" s="35">
        <v>4</v>
      </c>
      <c r="E58" s="27">
        <v>3</v>
      </c>
      <c r="F58" s="34"/>
      <c r="G58" s="34"/>
      <c r="H58" s="34"/>
      <c r="I58" s="34"/>
      <c r="J58" s="4"/>
      <c r="K58" s="3"/>
      <c r="U58" s="4"/>
    </row>
    <row r="59" spans="1:21" ht="19.149999999999999" customHeight="1" thickBot="1">
      <c r="A59" s="63" t="s">
        <v>55</v>
      </c>
      <c r="B59" s="31">
        <v>3</v>
      </c>
      <c r="C59" s="25" t="s">
        <v>124</v>
      </c>
      <c r="D59" s="35">
        <v>4</v>
      </c>
      <c r="E59" s="27">
        <v>3</v>
      </c>
      <c r="F59" s="34"/>
      <c r="G59" s="34"/>
      <c r="H59" s="34"/>
      <c r="I59" s="34"/>
      <c r="J59" s="4"/>
      <c r="K59" s="3"/>
      <c r="U59" s="4"/>
    </row>
    <row r="60" spans="1:21" ht="19.149999999999999" customHeight="1" thickBot="1">
      <c r="A60" s="63" t="s">
        <v>55</v>
      </c>
      <c r="B60" s="29">
        <v>4</v>
      </c>
      <c r="C60" s="25" t="s">
        <v>123</v>
      </c>
      <c r="D60" s="35">
        <v>6</v>
      </c>
      <c r="E60" s="27">
        <v>5</v>
      </c>
      <c r="F60" s="27"/>
      <c r="G60" s="27"/>
      <c r="H60" s="27"/>
      <c r="I60" s="27"/>
      <c r="J60" s="4"/>
      <c r="K60" s="3"/>
      <c r="U60" s="4"/>
    </row>
    <row r="61" spans="1:21" ht="19.149999999999999" customHeight="1" thickBot="1">
      <c r="A61" s="63" t="s">
        <v>55</v>
      </c>
      <c r="B61" s="41">
        <v>5</v>
      </c>
      <c r="C61" s="51" t="s">
        <v>85</v>
      </c>
      <c r="D61" s="50">
        <v>4</v>
      </c>
      <c r="E61" s="38">
        <v>3</v>
      </c>
      <c r="F61" s="38"/>
      <c r="G61" s="38"/>
      <c r="H61" s="38"/>
      <c r="I61" s="38">
        <f>SUM(E57:E61)</f>
        <v>22</v>
      </c>
      <c r="J61" s="4"/>
      <c r="K61" s="3"/>
      <c r="U61" s="4"/>
    </row>
    <row r="62" spans="1:21" ht="36" customHeight="1">
      <c r="A62" s="64" t="s">
        <v>7</v>
      </c>
      <c r="B62" s="31">
        <v>1</v>
      </c>
      <c r="C62" s="32" t="s">
        <v>32</v>
      </c>
      <c r="D62" s="33">
        <v>26</v>
      </c>
      <c r="E62" s="34">
        <v>15</v>
      </c>
      <c r="F62" s="34"/>
      <c r="G62" s="34"/>
      <c r="H62" s="34"/>
      <c r="I62" s="34"/>
      <c r="J62" s="4"/>
      <c r="K62" s="3"/>
      <c r="U62" s="4"/>
    </row>
    <row r="63" spans="1:21" ht="48" customHeight="1" thickBot="1">
      <c r="A63" s="64" t="s">
        <v>7</v>
      </c>
      <c r="B63" s="41">
        <v>2</v>
      </c>
      <c r="C63" s="36" t="s">
        <v>125</v>
      </c>
      <c r="D63" s="37">
        <v>4</v>
      </c>
      <c r="E63" s="38">
        <v>3</v>
      </c>
      <c r="F63" s="38"/>
      <c r="G63" s="38"/>
      <c r="H63" s="38"/>
      <c r="I63" s="38">
        <f>SUM(E62+E63)</f>
        <v>18</v>
      </c>
      <c r="J63" s="4"/>
      <c r="U63" s="4"/>
    </row>
    <row r="64" spans="1:21" ht="37.5" customHeight="1" thickBot="1">
      <c r="A64" s="63" t="s">
        <v>8</v>
      </c>
      <c r="B64" s="39">
        <v>1</v>
      </c>
      <c r="C64" s="46" t="s">
        <v>60</v>
      </c>
      <c r="D64" s="33">
        <v>26</v>
      </c>
      <c r="E64" s="34">
        <v>15</v>
      </c>
      <c r="F64" s="34"/>
      <c r="G64" s="34"/>
      <c r="H64" s="34"/>
      <c r="I64" s="34"/>
      <c r="J64" s="4"/>
      <c r="K64" s="3"/>
      <c r="U64" s="4"/>
    </row>
    <row r="65" spans="1:21" ht="47.25" customHeight="1" thickBot="1">
      <c r="A65" s="63" t="s">
        <v>8</v>
      </c>
      <c r="B65" s="41">
        <v>2</v>
      </c>
      <c r="C65" s="36" t="s">
        <v>81</v>
      </c>
      <c r="D65" s="37">
        <v>4</v>
      </c>
      <c r="E65" s="38">
        <v>3</v>
      </c>
      <c r="F65" s="38"/>
      <c r="G65" s="38"/>
      <c r="H65" s="38"/>
      <c r="I65" s="38">
        <f>SUM(E64+E65)</f>
        <v>18</v>
      </c>
      <c r="J65" s="4"/>
      <c r="K65" s="3"/>
      <c r="U65" s="4"/>
    </row>
    <row r="66" spans="1:21" ht="19.149999999999999" customHeight="1">
      <c r="A66" s="73"/>
      <c r="B66" s="18"/>
      <c r="C66" s="11"/>
      <c r="D66" s="19"/>
      <c r="E66" s="16"/>
      <c r="F66" s="16"/>
      <c r="G66" s="16"/>
      <c r="H66" s="16"/>
      <c r="I66" s="16"/>
      <c r="J66" s="4"/>
      <c r="K66" s="3"/>
      <c r="U66" s="4"/>
    </row>
    <row r="67" spans="1:21" ht="19.149999999999999" customHeight="1">
      <c r="A67" s="73"/>
      <c r="B67" s="18"/>
      <c r="C67" s="11"/>
      <c r="D67" s="19"/>
      <c r="E67" s="16"/>
      <c r="F67" s="16"/>
      <c r="G67" s="16"/>
      <c r="H67" s="16"/>
      <c r="I67" s="16"/>
      <c r="J67" s="4"/>
      <c r="K67" s="3"/>
      <c r="U67" s="4"/>
    </row>
    <row r="68" spans="1:21" ht="12.95" customHeight="1"/>
    <row r="70" spans="1:21">
      <c r="A70" s="70"/>
      <c r="B70" s="70"/>
      <c r="C70" s="70"/>
      <c r="D70" s="70"/>
      <c r="E70" s="70"/>
      <c r="F70" s="70"/>
      <c r="G70" s="70"/>
      <c r="H70" s="70"/>
      <c r="I70" s="70"/>
    </row>
    <row r="71" spans="1:21" ht="28.9" customHeight="1">
      <c r="D71" s="69"/>
      <c r="E71" s="69"/>
      <c r="F71" s="69"/>
      <c r="G71" s="69"/>
      <c r="H71" s="69"/>
      <c r="I71" s="69"/>
    </row>
    <row r="72" spans="1:21" ht="13.5" customHeight="1">
      <c r="A72" s="1"/>
      <c r="B72" s="1"/>
      <c r="C72" s="1"/>
    </row>
    <row r="73" spans="1:21">
      <c r="A73" s="72"/>
      <c r="B73" s="72"/>
      <c r="C73" s="72"/>
    </row>
    <row r="95" spans="6:6">
      <c r="F95" t="s">
        <v>9</v>
      </c>
    </row>
  </sheetData>
  <mergeCells count="8">
    <mergeCell ref="A73:C73"/>
    <mergeCell ref="A66:A67"/>
    <mergeCell ref="A70:I70"/>
    <mergeCell ref="D71:I71"/>
    <mergeCell ref="A3:I3"/>
    <mergeCell ref="A4:I4"/>
    <mergeCell ref="A5:K5"/>
    <mergeCell ref="A8:H8"/>
  </mergeCells>
  <pageMargins left="0.56999999999999995" right="0.27559055118110237" top="0.43307086614173229" bottom="0.2" header="0.31496062992125984" footer="0.31496062992125984"/>
  <pageSetup paperSize="9" scale="91" orientation="portrait" horizontalDpi="4294967294" verticalDpi="300" r:id="rId1"/>
  <rowBreaks count="1" manualBreakCount="1">
    <brk id="82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INICIAL 2020</vt:lpstr>
      <vt:lpstr>PRIMARIA 2020 </vt:lpstr>
      <vt:lpstr>ED. FISICA 2020</vt:lpstr>
      <vt:lpstr>COMUNICACIÓN 2020 </vt:lpstr>
      <vt:lpstr>'COMUNICACIÓN 2020 '!Área_de_impresión</vt:lpstr>
      <vt:lpstr>'ED. FISICA 2020'!Área_de_impresión</vt:lpstr>
      <vt:lpstr>'PRIMARIA 2020 '!Área_de_impresión</vt:lpstr>
    </vt:vector>
  </TitlesOfParts>
  <Company>secretaria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Janeth</dc:creator>
  <cp:lastModifiedBy>JESUS AGUSTIN PINILLOS TORRES</cp:lastModifiedBy>
  <cp:lastPrinted>2025-09-23T15:12:38Z</cp:lastPrinted>
  <dcterms:created xsi:type="dcterms:W3CDTF">2012-03-01T09:35:12Z</dcterms:created>
  <dcterms:modified xsi:type="dcterms:W3CDTF">2026-01-24T08:24:44Z</dcterms:modified>
</cp:coreProperties>
</file>